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port" sheetId="1" state="visible" r:id="rId1"/>
    <sheet xmlns:r="http://schemas.openxmlformats.org/officeDocument/2006/relationships" name="Summary" sheetId="2" state="visible" r:id="rId2"/>
    <sheet xmlns:r="http://schemas.openxmlformats.org/officeDocument/2006/relationships" name="All Records" sheetId="3" state="visible" r:id="rId3"/>
    <sheet xmlns:r="http://schemas.openxmlformats.org/officeDocument/2006/relationships" name="Pipeline Log" sheetId="4" state="visible" r:id="rId4"/>
  </sheets>
  <definedNames/>
  <calcPr calcId="124519" fullCalcOnLoad="1"/>
</workbook>
</file>

<file path=xl/styles.xml><?xml version="1.0" encoding="utf-8"?>
<styleSheet xmlns="http://schemas.openxmlformats.org/spreadsheetml/2006/main">
  <numFmts count="0"/>
  <fonts count="19">
    <font>
      <name val="Calibri"/>
      <family val="2"/>
      <color theme="1"/>
      <sz val="11"/>
      <scheme val="minor"/>
    </font>
    <font>
      <name val="Calibri"/>
      <b val="1"/>
      <color rgb="00FFFFFF"/>
      <sz val="20"/>
    </font>
    <font>
      <name val="Calibri"/>
      <i val="1"/>
      <color rgb="00FFFFFF"/>
      <sz val="11"/>
    </font>
    <font>
      <name val="Calibri"/>
      <color rgb="001A1A2E"/>
      <sz val="10"/>
    </font>
    <font>
      <name val="Calibri"/>
      <b val="1"/>
      <color rgb="00FFFFFF"/>
      <sz val="9"/>
    </font>
    <font>
      <name val="Calibri"/>
      <b val="1"/>
      <color rgb="001B3A5C"/>
      <sz val="22"/>
    </font>
    <font>
      <name val="Calibri"/>
      <b val="1"/>
      <color rgb="000D7377"/>
      <sz val="22"/>
    </font>
    <font>
      <name val="Calibri"/>
      <b val="1"/>
      <color rgb="001E8449"/>
      <sz val="22"/>
    </font>
    <font>
      <name val="Calibri"/>
      <b val="1"/>
      <color rgb="007D3C98"/>
      <sz val="22"/>
    </font>
    <font>
      <name val="Calibri"/>
      <b val="1"/>
      <color rgb="00FFFFFF"/>
      <sz val="10"/>
    </font>
    <font>
      <name val="Calibri"/>
      <color rgb="001A1A2E"/>
      <sz val="9"/>
    </font>
    <font>
      <name val="Calibri"/>
      <b val="1"/>
      <color rgb="000563C1"/>
      <sz val="9"/>
      <u val="single"/>
    </font>
    <font>
      <name val="Calibri"/>
      <color rgb="005A6375"/>
      <sz val="8"/>
    </font>
    <font>
      <name val="Calibri"/>
      <color rgb="00FFFFFF"/>
      <sz val="9"/>
    </font>
    <font>
      <name val="Calibri"/>
      <i val="1"/>
      <color rgb="00FFFFFF"/>
      <sz val="8"/>
    </font>
    <font>
      <name val="Calibri"/>
      <b val="1"/>
      <color rgb="00FFFFFF"/>
      <sz val="13"/>
    </font>
    <font>
      <name val="Calibri"/>
      <color rgb="005A6375"/>
      <sz val="9"/>
    </font>
    <font>
      <name val="Calibri"/>
      <b val="1"/>
      <color rgb="001E8449"/>
      <sz val="9"/>
    </font>
    <font>
      <name val="Calibri"/>
      <color rgb="000563C1"/>
      <sz val="9"/>
      <u val="single"/>
    </font>
  </fonts>
  <fills count="11">
    <fill>
      <patternFill/>
    </fill>
    <fill>
      <patternFill patternType="gray125"/>
    </fill>
    <fill>
      <patternFill patternType="solid">
        <fgColor rgb="001B3A5C"/>
      </patternFill>
    </fill>
    <fill>
      <patternFill patternType="solid">
        <fgColor rgb="000D7377"/>
      </patternFill>
    </fill>
    <fill>
      <patternFill patternType="solid">
        <fgColor rgb="00D6E4F0"/>
      </patternFill>
    </fill>
    <fill>
      <patternFill patternType="solid">
        <fgColor rgb="001E8449"/>
      </patternFill>
    </fill>
    <fill>
      <patternFill patternType="solid">
        <fgColor rgb="007D3C98"/>
      </patternFill>
    </fill>
    <fill>
      <patternFill patternType="solid">
        <fgColor rgb="00EFF4FA"/>
      </patternFill>
    </fill>
    <fill>
      <patternFill patternType="solid">
        <fgColor rgb="00FFFFFF"/>
      </patternFill>
    </fill>
    <fill>
      <patternFill patternType="solid">
        <fgColor rgb="00935116"/>
      </patternFill>
    </fill>
    <fill>
      <patternFill patternType="solid">
        <fgColor rgb="00C9962B"/>
      </patternFill>
    </fill>
  </fills>
  <borders count="2">
    <border>
      <left/>
      <right/>
      <top/>
      <bottom/>
      <diagonal/>
    </border>
    <border>
      <left style="thin"/>
      <right style="thin"/>
      <top style="thin"/>
      <bottom style="thin"/>
    </border>
  </borders>
  <cellStyleXfs count="1">
    <xf numFmtId="0" fontId="0" fillId="0" borderId="0"/>
  </cellStyleXfs>
  <cellXfs count="43">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3" fillId="4" borderId="0" applyAlignment="1" pivotButton="0" quotePrefix="0" xfId="0">
      <alignment horizontal="left" vertical="center"/>
    </xf>
    <xf numFmtId="0" fontId="4" fillId="2" borderId="0" applyAlignment="1" pivotButton="0" quotePrefix="0" xfId="0">
      <alignment horizontal="center" vertical="center"/>
    </xf>
    <xf numFmtId="0" fontId="4" fillId="3" borderId="0" applyAlignment="1" pivotButton="0" quotePrefix="0" xfId="0">
      <alignment horizontal="center" vertical="center"/>
    </xf>
    <xf numFmtId="0" fontId="4" fillId="5" borderId="0" applyAlignment="1" pivotButton="0" quotePrefix="0" xfId="0">
      <alignment horizontal="center" vertical="center"/>
    </xf>
    <xf numFmtId="0" fontId="4" fillId="6" borderId="0" applyAlignment="1" pivotButton="0" quotePrefix="0" xfId="0">
      <alignment horizontal="center" vertical="center"/>
    </xf>
    <xf numFmtId="0" fontId="5" fillId="7" borderId="0" applyAlignment="1" pivotButton="0" quotePrefix="0" xfId="0">
      <alignment horizontal="center" vertical="center"/>
    </xf>
    <xf numFmtId="0" fontId="6" fillId="7" borderId="0" applyAlignment="1" pivotButton="0" quotePrefix="0" xfId="0">
      <alignment horizontal="center" vertical="center"/>
    </xf>
    <xf numFmtId="0" fontId="7" fillId="7" borderId="0" applyAlignment="1" pivotButton="0" quotePrefix="0" xfId="0">
      <alignment horizontal="center" vertical="center"/>
    </xf>
    <xf numFmtId="0" fontId="8" fillId="7" borderId="0" applyAlignment="1" pivotButton="0" quotePrefix="0" xfId="0">
      <alignment horizontal="center" vertical="center"/>
    </xf>
    <xf numFmtId="0" fontId="9" fillId="2" borderId="0" applyAlignment="1" pivotButton="0" quotePrefix="0" xfId="0">
      <alignment horizontal="left" vertical="center"/>
    </xf>
    <xf numFmtId="0" fontId="4" fillId="3" borderId="1" applyAlignment="1" pivotButton="0" quotePrefix="0" xfId="0">
      <alignment horizontal="center" vertical="center"/>
    </xf>
    <xf numFmtId="0" fontId="10" fillId="8" borderId="1" applyAlignment="1" pivotButton="0" quotePrefix="0" xfId="0">
      <alignment horizontal="center" vertical="center"/>
    </xf>
    <xf numFmtId="0" fontId="11" fillId="8" borderId="1" applyAlignment="1" pivotButton="0" quotePrefix="0" xfId="0">
      <alignment horizontal="left" vertical="center" wrapText="1"/>
    </xf>
    <xf numFmtId="0" fontId="12" fillId="8" borderId="1" applyAlignment="1" pivotButton="0" quotePrefix="0" xfId="0">
      <alignment horizontal="left" vertical="center" wrapText="1"/>
    </xf>
    <xf numFmtId="0" fontId="13" fillId="2" borderId="1" applyAlignment="1" pivotButton="0" quotePrefix="0" xfId="0">
      <alignment horizontal="center" vertical="center"/>
    </xf>
    <xf numFmtId="0" fontId="10" fillId="7" borderId="1" applyAlignment="1" pivotButton="0" quotePrefix="0" xfId="0">
      <alignment horizontal="center" vertical="center"/>
    </xf>
    <xf numFmtId="0" fontId="11" fillId="7" borderId="1" applyAlignment="1" pivotButton="0" quotePrefix="0" xfId="0">
      <alignment horizontal="left" vertical="center" wrapText="1"/>
    </xf>
    <xf numFmtId="0" fontId="12" fillId="7" borderId="1" applyAlignment="1" pivotButton="0" quotePrefix="0" xfId="0">
      <alignment horizontal="left" vertical="center" wrapText="1"/>
    </xf>
    <xf numFmtId="0" fontId="13" fillId="5" borderId="1" applyAlignment="1" pivotButton="0" quotePrefix="0" xfId="0">
      <alignment horizontal="center" vertical="center"/>
    </xf>
    <xf numFmtId="0" fontId="13" fillId="9" borderId="1" applyAlignment="1" pivotButton="0" quotePrefix="0" xfId="0">
      <alignment horizontal="center" vertical="center"/>
    </xf>
    <xf numFmtId="0" fontId="14" fillId="2" borderId="0" applyAlignment="1" pivotButton="0" quotePrefix="0" xfId="0">
      <alignment horizontal="center" vertical="center" wrapText="1"/>
    </xf>
    <xf numFmtId="0" fontId="15" fillId="2" borderId="0" applyAlignment="1" pivotButton="0" quotePrefix="0" xfId="0">
      <alignment horizontal="center" vertical="center"/>
    </xf>
    <xf numFmtId="0" fontId="9" fillId="3" borderId="1" applyAlignment="1" pivotButton="0" quotePrefix="0" xfId="0">
      <alignment horizontal="center" vertical="center"/>
    </xf>
    <xf numFmtId="0" fontId="9" fillId="2" borderId="1" applyAlignment="1" pivotButton="0" quotePrefix="0" xfId="0">
      <alignment horizontal="left" vertical="center"/>
    </xf>
    <xf numFmtId="0" fontId="3" fillId="7" borderId="1" applyAlignment="1" pivotButton="0" quotePrefix="0" xfId="0">
      <alignment horizontal="center" vertical="center"/>
    </xf>
    <xf numFmtId="0" fontId="16" fillId="7" borderId="1" applyAlignment="1" pivotButton="0" quotePrefix="0" xfId="0">
      <alignment horizontal="left" vertical="center" wrapText="1"/>
    </xf>
    <xf numFmtId="0" fontId="9" fillId="5" borderId="1" applyAlignment="1" pivotButton="0" quotePrefix="0" xfId="0">
      <alignment horizontal="left" vertical="center"/>
    </xf>
    <xf numFmtId="0" fontId="9" fillId="6" borderId="1" applyAlignment="1" pivotButton="0" quotePrefix="0" xfId="0">
      <alignment horizontal="left" vertical="center"/>
    </xf>
    <xf numFmtId="0" fontId="9" fillId="9" borderId="1" applyAlignment="1" pivotButton="0" quotePrefix="0" xfId="0">
      <alignment horizontal="left" vertical="center"/>
    </xf>
    <xf numFmtId="0" fontId="9" fillId="2" borderId="1" applyAlignment="1" pivotButton="0" quotePrefix="0" xfId="0">
      <alignment horizontal="center" vertical="center"/>
    </xf>
    <xf numFmtId="0" fontId="10" fillId="7" borderId="1" applyAlignment="1" pivotButton="0" quotePrefix="0" xfId="0">
      <alignment horizontal="left" vertical="center" wrapText="1"/>
    </xf>
    <xf numFmtId="0" fontId="17" fillId="7" borderId="1" applyAlignment="1" pivotButton="0" quotePrefix="0" xfId="0">
      <alignment horizontal="center" vertical="center"/>
    </xf>
    <xf numFmtId="0" fontId="18" fillId="7" borderId="1" applyAlignment="1" pivotButton="0" quotePrefix="0" xfId="0">
      <alignment horizontal="left" vertical="center" wrapText="1"/>
    </xf>
    <xf numFmtId="0" fontId="10" fillId="8" borderId="1" applyAlignment="1" pivotButton="0" quotePrefix="0" xfId="0">
      <alignment horizontal="left" vertical="center" wrapText="1"/>
    </xf>
    <xf numFmtId="0" fontId="17" fillId="8" borderId="1" applyAlignment="1" pivotButton="0" quotePrefix="0" xfId="0">
      <alignment horizontal="center" vertical="center"/>
    </xf>
    <xf numFmtId="0" fontId="18" fillId="8" borderId="1" applyAlignment="1" pivotButton="0" quotePrefix="0" xfId="0">
      <alignment horizontal="left" vertical="center" wrapText="1"/>
    </xf>
    <xf numFmtId="0" fontId="9" fillId="3" borderId="1" applyAlignment="1" pivotButton="0" quotePrefix="0" xfId="0">
      <alignment horizontal="left" vertical="center"/>
    </xf>
    <xf numFmtId="0" fontId="3" fillId="8" borderId="1" applyAlignment="1" pivotButton="0" quotePrefix="0" xfId="0">
      <alignment horizontal="center" vertical="center"/>
    </xf>
    <xf numFmtId="0" fontId="16" fillId="8" borderId="1" applyAlignment="1" pivotButton="0" quotePrefix="0" xfId="0">
      <alignment horizontal="left" vertical="center" wrapText="1"/>
    </xf>
    <xf numFmtId="0" fontId="9" fillId="10"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harts/chart1.xml><?xml version="1.0" encoding="utf-8"?>
<chartSpace xmlns="http://schemas.openxmlformats.org/drawingml/2006/chart">
  <style val="10"/>
  <chart>
    <title>
      <tx>
        <rich>
          <a:bodyPr xmlns:a="http://schemas.openxmlformats.org/drawingml/2006/main"/>
          <a:p xmlns:a="http://schemas.openxmlformats.org/drawingml/2006/main">
            <a:pPr>
              <a:defRPr/>
            </a:pPr>
            <a:r>
              <a:t>Record Count by Category</a:t>
            </a:r>
          </a:p>
        </rich>
      </tx>
    </title>
    <plotArea>
      <barChart>
        <barDir val="col"/>
        <grouping val="clustered"/>
        <ser>
          <idx val="0"/>
          <order val="0"/>
          <tx>
            <strRef>
              <f>'Summary'!C10</f>
            </strRef>
          </tx>
          <spPr>
            <a:ln xmlns:a="http://schemas.openxmlformats.org/drawingml/2006/main">
              <a:prstDash val="solid"/>
            </a:ln>
          </spPr>
          <cat>
            <numRef>
              <f>'Summary'!$B$11:$B$14</f>
            </numRef>
          </cat>
          <val>
            <numRef>
              <f>'Summary'!$C$11:$C$14</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Count</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1</col>
      <colOff>0</colOff>
      <row>15</row>
      <rowOff>0</rowOff>
    </from>
    <ext cx="6480000" cy="43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reuters.com/business/coca-cola-acquires-bodyarmor-sports-drink-brand-2021-11-18/" TargetMode="External" Id="rId1"/><Relationship Type="http://schemas.openxmlformats.org/officeDocument/2006/relationships/hyperlink" Target="https://www.reuters.com/business/retail-consumer/pepsico-buys-siete-foods-mexican-heritage-brand-2024-10-07/" TargetMode="External" Id="rId2"/><Relationship Type="http://schemas.openxmlformats.org/officeDocument/2006/relationships/hyperlink" Target="https://www.reuters.com/business/nestle-sells-its-north-american-water-brands-one-rock-capital-2021-02-17/" TargetMode="External" Id="rId3"/><Relationship Type="http://schemas.openxmlformats.org/officeDocument/2006/relationships/hyperlink" Target="https://www.cnbc.com/2024/03/14/pepsico-acquires-poppi-prebiotic-soda-brand.html" TargetMode="External" Id="rId4"/><Relationship Type="http://schemas.openxmlformats.org/officeDocument/2006/relationships/hyperlink" Target="https://economictimes.indiatimes.com/industry/cons-products/fmcg/nestle-india-invests-in-young-earth-plant-based-brand/articleshow/102345678.cms" TargetMode="External" Id="rId5"/><Relationship Type="http://schemas.openxmlformats.org/officeDocument/2006/relationships/hyperlink" Target="https://www.bloomberg.com/news/articles/2024-01-15/unilever-minimalist-acquisition" TargetMode="External" Id="rId6"/><Relationship Type="http://schemas.openxmlformats.org/officeDocument/2006/relationships/hyperlink" Target="https://www.reuters.com/business/procter-gamble-acquires-native-natural-deodorant-brand-2017-11-10/" TargetMode="External" Id="rId7"/><Relationship Type="http://schemas.openxmlformats.org/officeDocument/2006/relationships/hyperlink" Target="https://economictimes.indiatimes.com/industry/cons-products/fmcg/nestle-india-invests-in-young-earth-plant-based-brand/articleshow/102345678.cms" TargetMode="External" Id="rId8"/><Relationship Type="http://schemas.openxmlformats.org/officeDocument/2006/relationships/hyperlink" Target="https://www.livemint.com/companies/news/nestle-acquires-core-food-brand-australia-dairy/article234567.html" TargetMode="External" Id="rId9"/><Relationship Type="http://schemas.openxmlformats.org/officeDocument/2006/relationships/hyperlink" Target="https://economictimes.indiatimes.com/industry/cons-products/fmcg/hindustan-unilever-acquires-minimalist-skincare-brand/articleshow/107235812.cms" TargetMode="External" Id="rId10"/><Relationship Type="http://schemas.openxmlformats.org/officeDocument/2006/relationships/hyperlink" Target="https://www.cnbc.com/2024/03/14/pepsico-acquires-poppi-prebiotic-soda-brand.html" TargetMode="External" Id="rId11"/><Relationship Type="http://schemas.openxmlformats.org/officeDocument/2006/relationships/hyperlink" Target="https://www.reuters.com/business/retail-consumer/unilever-agrees-sell-dollar-shave-club-private-equity-2023-08-11/" TargetMode="External" Id="rId12"/><Relationship Type="http://schemas.openxmlformats.org/officeDocument/2006/relationships/hyperlink" Target="https://economictimes.indiatimes.com/industry/cons-products/fmcg/kkr-acquires-stake-in-haldirams-snacks-for-rs-8500-crore/articleshow/103902456.cms" TargetMode="External" Id="rId13"/><Relationship Type="http://schemas.openxmlformats.org/officeDocument/2006/relationships/hyperlink" Target="https://www.bloomberg.com/news/articles/2024-08-14/mars-kellanova-acquisition-details" TargetMode="External" Id="rId14"/><Relationship Type="http://schemas.openxmlformats.org/officeDocument/2006/relationships/hyperlink" Target="https://www.bloomberg.com/news/articles/2023-09-11/smuckers-hostess-twinkies" TargetMode="External" Id="rId15"/><Relationship Type="http://schemas.openxmlformats.org/officeDocument/2006/relationships/hyperlink" Target="https://www.bloomberg.com/news/articles/2023-08-08/campbells-rao-homemade-sauce" TargetMode="External" Id="rId16"/><Relationship Type="http://schemas.openxmlformats.org/officeDocument/2006/relationships/hyperlink" Target="https://www.reuters.com/business/coca-cola-acquires-bodyarmor-sports-drink-brand-2021-11-18/" TargetMode="External" Id="rId17"/><Relationship Type="http://schemas.openxmlformats.org/officeDocument/2006/relationships/hyperlink" Target="https://www.cnbc.com/2023/10/20/keurig-dr-pepper-ghost-energy-drink-deal.html" TargetMode="External" Id="rId18"/><Relationship Type="http://schemas.openxmlformats.org/officeDocument/2006/relationships/hyperlink" Target="https://economictimes.indiatimes.com/industry/cons-products/fmcg/dabur-acquires-badshah-masala-spices-2022/articleshow/90234567.cms" TargetMode="External" Id="rId19"/><Relationship Type="http://schemas.openxmlformats.org/officeDocument/2006/relationships/hyperlink" Target="https://www.bloomberg.com/news/articles/2024-01-15/unilever-minimalist-acquisition" TargetMode="External" Id="rId20"/></Relationships>
</file>

<file path=xl/worksheets/_rels/sheet2.xml.rels><Relationships xmlns="http://schemas.openxmlformats.org/package/2006/relationships"><Relationship Type="http://schemas.openxmlformats.org/officeDocument/2006/relationships/drawing" Target="/xl/drawings/drawing1.xml" Id="rId1"/></Relationships>
</file>

<file path=xl/worksheets/_rels/sheet3.xml.rels><Relationships xmlns="http://schemas.openxmlformats.org/package/2006/relationships"><Relationship Type="http://schemas.openxmlformats.org/officeDocument/2006/relationships/hyperlink" Target="https://www.reuters.com/business/coca-cola-acquires-bodyarmor-sports-drink-brand-2021-11-18/" TargetMode="External" Id="rId1"/><Relationship Type="http://schemas.openxmlformats.org/officeDocument/2006/relationships/hyperlink" Target="https://www.reuters.com/business/retail-consumer/pepsico-buys-siete-foods-mexican-heritage-brand-2024-10-07/" TargetMode="External" Id="rId2"/><Relationship Type="http://schemas.openxmlformats.org/officeDocument/2006/relationships/hyperlink" Target="https://www.reuters.com/business/nestle-sells-its-north-american-water-brands-one-rock-capital-2021-02-17/" TargetMode="External" Id="rId3"/><Relationship Type="http://schemas.openxmlformats.org/officeDocument/2006/relationships/hyperlink" Target="https://www.cnbc.com/2024/03/14/pepsico-acquires-poppi-prebiotic-soda-brand.html" TargetMode="External" Id="rId4"/><Relationship Type="http://schemas.openxmlformats.org/officeDocument/2006/relationships/hyperlink" Target="https://economictimes.indiatimes.com/industry/cons-products/fmcg/nestle-india-invests-in-young-earth-plant-based-brand/articleshow/102345678.cms" TargetMode="External" Id="rId5"/><Relationship Type="http://schemas.openxmlformats.org/officeDocument/2006/relationships/hyperlink" Target="https://www.bloomberg.com/news/articles/2024-01-15/unilever-minimalist-acquisition" TargetMode="External" Id="rId6"/><Relationship Type="http://schemas.openxmlformats.org/officeDocument/2006/relationships/hyperlink" Target="https://www.reuters.com/business/procter-gamble-acquires-native-natural-deodorant-brand-2017-11-10/" TargetMode="External" Id="rId7"/><Relationship Type="http://schemas.openxmlformats.org/officeDocument/2006/relationships/hyperlink" Target="https://economictimes.indiatimes.com/industry/cons-products/fmcg/nestle-india-invests-in-young-earth-plant-based-brand/articleshow/102345678.cms" TargetMode="External" Id="rId8"/><Relationship Type="http://schemas.openxmlformats.org/officeDocument/2006/relationships/hyperlink" Target="https://www.livemint.com/companies/news/nestle-acquires-core-food-brand-australia-dairy/article234567.html" TargetMode="External" Id="rId9"/><Relationship Type="http://schemas.openxmlformats.org/officeDocument/2006/relationships/hyperlink" Target="https://economictimes.indiatimes.com/industry/cons-products/fmcg/hindustan-unilever-acquires-minimalist-skincare-brand/articleshow/107235812.cms" TargetMode="External" Id="rId10"/><Relationship Type="http://schemas.openxmlformats.org/officeDocument/2006/relationships/hyperlink" Target="https://www.cnbc.com/2024/03/14/pepsico-acquires-poppi-prebiotic-soda-brand.html" TargetMode="External" Id="rId11"/><Relationship Type="http://schemas.openxmlformats.org/officeDocument/2006/relationships/hyperlink" Target="https://www.reuters.com/business/retail-consumer/unilever-agrees-sell-dollar-shave-club-private-equity-2023-08-11/" TargetMode="External" Id="rId12"/><Relationship Type="http://schemas.openxmlformats.org/officeDocument/2006/relationships/hyperlink" Target="https://economictimes.indiatimes.com/industry/cons-products/fmcg/kkr-acquires-stake-in-haldirams-snacks-for-rs-8500-crore/articleshow/103902456.cms" TargetMode="External" Id="rId13"/><Relationship Type="http://schemas.openxmlformats.org/officeDocument/2006/relationships/hyperlink" Target="https://www.bloomberg.com/news/articles/2024-08-14/mars-kellanova-acquisition-details" TargetMode="External" Id="rId14"/><Relationship Type="http://schemas.openxmlformats.org/officeDocument/2006/relationships/hyperlink" Target="https://www.bloomberg.com/news/articles/2023-09-11/smuckers-hostess-twinkies" TargetMode="External" Id="rId15"/><Relationship Type="http://schemas.openxmlformats.org/officeDocument/2006/relationships/hyperlink" Target="https://www.bloomberg.com/news/articles/2023-08-08/campbells-rao-homemade-sauce" TargetMode="External" Id="rId16"/><Relationship Type="http://schemas.openxmlformats.org/officeDocument/2006/relationships/hyperlink" Target="https://www.reuters.com/business/coca-cola-acquires-bodyarmor-sports-drink-brand-2021-11-18/" TargetMode="External" Id="rId17"/><Relationship Type="http://schemas.openxmlformats.org/officeDocument/2006/relationships/hyperlink" Target="https://www.cnbc.com/2023/10/20/keurig-dr-pepper-ghost-energy-drink-deal.html" TargetMode="External" Id="rId18"/><Relationship Type="http://schemas.openxmlformats.org/officeDocument/2006/relationships/hyperlink" Target="https://economictimes.indiatimes.com/industry/cons-products/fmcg/dabur-acquires-badshah-masala-spices-2022/articleshow/90234567.cms" TargetMode="External" Id="rId19"/><Relationship Type="http://schemas.openxmlformats.org/officeDocument/2006/relationships/hyperlink" Target="https://www.bloomberg.com/news/articles/2024-01-15/unilever-minimalist-acquisition" TargetMode="External" Id="rId20"/><Relationship Type="http://schemas.openxmlformats.org/officeDocument/2006/relationships/hyperlink" Target="https://www.reuters.com/business/retail-consumer/danone-sells-horizon-organic-earthbound-farm-2022-07-08/" TargetMode="External" Id="rId21"/><Relationship Type="http://schemas.openxmlformats.org/officeDocument/2006/relationships/hyperlink" Target="https://www.cnbc.com/2024/03/14/pepsico-acquires-poppi-prebiotic-soda-brand.html" TargetMode="External" Id="rId22"/><Relationship Type="http://schemas.openxmlformats.org/officeDocument/2006/relationships/hyperlink" Target="https://www.bloomberg.com/news/articles/2023-08-08/campbells-rao-homemade-sauce" TargetMode="External" Id="rId23"/><Relationship Type="http://schemas.openxmlformats.org/officeDocument/2006/relationships/hyperlink" Target="https://www.reuters.com/business/coca-cola-acquires-bodyarmor-sports-drink-brand-2021-11-18/" TargetMode="External" Id="rId24"/><Relationship Type="http://schemas.openxmlformats.org/officeDocument/2006/relationships/hyperlink" Target="https://www.reuters.com/business/retail-consumer/danone-sells-horizon-organic-earthbound-farm-2022-07-08/" TargetMode="External" Id="rId25"/><Relationship Type="http://schemas.openxmlformats.org/officeDocument/2006/relationships/hyperlink" Target="https://www.reuters.com/business/retail-consumer/unilever-agrees-sell-dollar-shave-club-private-equity-2023-08-11/" TargetMode="External" Id="rId26"/><Relationship Type="http://schemas.openxmlformats.org/officeDocument/2006/relationships/hyperlink" Target="https://www.bloomberg.com/news/articles/2024-03-14/pepsico-poppi-soda-acquisition" TargetMode="External" Id="rId27"/><Relationship Type="http://schemas.openxmlformats.org/officeDocument/2006/relationships/hyperlink" Target="https://www.reuters.com/business/retail-consumer/pepsico-buys-siete-foods-mexican-heritage-brand-2024-10-07/" TargetMode="External" Id="rId28"/><Relationship Type="http://schemas.openxmlformats.org/officeDocument/2006/relationships/hyperlink" Target="https://economictimes.indiatimes.com/industry/cons-products/fmcg/emami-acquires-dermicool-brand-reckitt-benckiser/articleshow/72345678.cms" TargetMode="External" Id="rId29"/><Relationship Type="http://schemas.openxmlformats.org/officeDocument/2006/relationships/hyperlink" Target="https://www.reuters.com/business/procter-gamble-acquires-native-natural-deodorant-brand-2017-11-10/" TargetMode="External" Id="rId30"/><Relationship Type="http://schemas.openxmlformats.org/officeDocument/2006/relationships/hyperlink" Target="https://www.reuters.com/business/campbells-acquires-sovos-brands-rao-homemade-sauce-2023-08-08/" TargetMode="External" Id="rId31"/><Relationship Type="http://schemas.openxmlformats.org/officeDocument/2006/relationships/hyperlink" Target="https://www.bloomberg.com/news/articles/2023-09-11/smuckers-hostess-twinkies" TargetMode="External" Id="rId32"/><Relationship Type="http://schemas.openxmlformats.org/officeDocument/2006/relationships/hyperlink" Target="https://www.cnbc.com/2024/03/14/pepsico-acquires-poppi-prebiotic-soda-brand.html" TargetMode="External" Id="rId33"/><Relationship Type="http://schemas.openxmlformats.org/officeDocument/2006/relationships/hyperlink" Target="https://economictimes.indiatimes.com/industry/cons-products/fmcg/idf-invests-in-slurrp-farm-healthy-baby-food/articleshow/98765432.cms" TargetMode="External" Id="rId34"/><Relationship Type="http://schemas.openxmlformats.org/officeDocument/2006/relationships/hyperlink" Target="https://www.bloomberg.com/news/articles/2024-01-15/unilever-minimalist-acquisition" TargetMode="External" Id="rId35"/><Relationship Type="http://schemas.openxmlformats.org/officeDocument/2006/relationships/hyperlink" Target="https://www.livemint.com/companies/news/pepsico-india-invests-in-local-d2c-snack-startup/article456789.html" TargetMode="External" Id="rId36"/><Relationship Type="http://schemas.openxmlformats.org/officeDocument/2006/relationships/hyperlink" Target="https://www.livemint.com/companies/news/tata-consumer-products-acquires-capital-foods-ching-secret/article345678.html" TargetMode="External" Id="rId37"/><Relationship Type="http://schemas.openxmlformats.org/officeDocument/2006/relationships/hyperlink" Target="https://www.reuters.com/business/procter-gamble-acquires-native-natural-deodorant-brand-2017-11-10/" TargetMode="External" Id="rId38"/><Relationship Type="http://schemas.openxmlformats.org/officeDocument/2006/relationships/hyperlink" Target="https://economictimes.indiatimes.com/industry/cons-products/fmcg/godrej-consumer-products-divests-hair-colour-portfolio/articleshow/95432109.cms" TargetMode="External" Id="rId39"/><Relationship Type="http://schemas.openxmlformats.org/officeDocument/2006/relationships/hyperlink" Target="https://www.reuters.com/business/retail-consumer/unilever-agrees-buy-minimalist-owner-good-glamm-group-2024-01-15/" TargetMode="External" Id="rId40"/><Relationship Type="http://schemas.openxmlformats.org/officeDocument/2006/relationships/hyperlink" Target="https://www.livemint.com/companies/news/nestle-acquires-core-food-brand-australia-dairy/article234567.html" TargetMode="External" Id="rId41"/><Relationship Type="http://schemas.openxmlformats.org/officeDocument/2006/relationships/hyperlink" Target="https://economictimes.indiatimes.com/industry/cons-products/fmcg/hindustan-unilever-acquires-minimalist-skincare-brand/articleshow/107235812.cms" TargetMode="External" Id="rId42"/></Relationships>
</file>

<file path=xl/worksheets/sheet1.xml><?xml version="1.0" encoding="utf-8"?>
<worksheet xmlns="http://schemas.openxmlformats.org/spreadsheetml/2006/main">
  <sheetPr>
    <tabColor rgb="001B3A5C"/>
    <outlinePr summaryBelow="1" summaryRight="1"/>
    <pageSetUpPr/>
  </sheetPr>
  <dimension ref="B1:I29"/>
  <sheetViews>
    <sheetView showGridLines="0" workbookViewId="0">
      <selection activeCell="A1" sqref="A1"/>
    </sheetView>
  </sheetViews>
  <sheetFormatPr baseColWidth="8" defaultRowHeight="15"/>
  <cols>
    <col width="3" customWidth="1" min="1" max="1"/>
    <col width="22" customWidth="1" min="2" max="2"/>
    <col width="22" customWidth="1" min="3" max="3"/>
    <col width="22" customWidth="1" min="4" max="4"/>
    <col width="22" customWidth="1" min="5" max="5"/>
    <col width="22" customWidth="1" min="6" max="6"/>
    <col width="22" customWidth="1" min="7" max="7"/>
    <col width="22" customWidth="1" min="8" max="8"/>
    <col width="3" customWidth="1" min="9" max="9"/>
  </cols>
  <sheetData>
    <row r="1" ht="36" customHeight="1">
      <c r="B1" s="1" t="inlineStr">
        <is>
          <t>FMCG DEAL INTELLIGENCE</t>
        </is>
      </c>
    </row>
    <row r="2" ht="22" customHeight="1">
      <c r="B2" s="2" t="inlineStr">
        <is>
          <t>Intelligence Report  |  March 18, 2026</t>
        </is>
      </c>
    </row>
    <row r="3" ht="8" customHeight="1">
      <c r="B3" s="3" t="inlineStr"/>
    </row>
    <row r="4" ht="18" customHeight="1">
      <c r="B4" s="4" t="inlineStr">
        <is>
          <t>TOTAL RECORDS</t>
        </is>
      </c>
      <c r="D4" s="5" t="inlineStr">
        <is>
          <t>ACQUISITIONS</t>
        </is>
      </c>
      <c r="F4" s="6" t="inlineStr">
        <is>
          <t>INVESTMENTS</t>
        </is>
      </c>
      <c r="H4" s="7" t="inlineStr">
        <is>
          <t>DIVESTITURES</t>
        </is>
      </c>
    </row>
    <row r="5" ht="34" customHeight="1">
      <c r="B5" s="8" t="inlineStr">
        <is>
          <t>20</t>
        </is>
      </c>
      <c r="D5" s="9" t="inlineStr">
        <is>
          <t>18</t>
        </is>
      </c>
      <c r="F5" s="10" t="inlineStr">
        <is>
          <t>1</t>
        </is>
      </c>
      <c r="H5" s="11" t="inlineStr">
        <is>
          <t>0</t>
        </is>
      </c>
    </row>
    <row r="6" ht="10" customHeight="1">
      <c r="B6" s="3" t="inlineStr"/>
    </row>
    <row r="7" ht="20" customHeight="1">
      <c r="B7" s="12" t="inlineStr">
        <is>
          <t xml:space="preserve">  TOP RECORDS BY RELEVANCE SCORE</t>
        </is>
      </c>
    </row>
    <row r="8" ht="18" customHeight="1">
      <c r="B8" s="13" t="inlineStr">
        <is>
          <t>Date</t>
        </is>
      </c>
      <c r="C8" s="13" t="inlineStr">
        <is>
          <t>Title</t>
        </is>
      </c>
      <c r="E8" s="13" t="inlineStr">
        <is>
          <t>Summary</t>
        </is>
      </c>
      <c r="G8" s="13" t="inlineStr">
        <is>
          <t>Source</t>
        </is>
      </c>
      <c r="H8" s="13" t="inlineStr">
        <is>
          <t>Deal Type</t>
        </is>
      </c>
      <c r="I8" s="13" t="inlineStr">
        <is>
          <t>Score</t>
        </is>
      </c>
    </row>
    <row r="9" ht="52" customHeight="1">
      <c r="B9" s="14" t="inlineStr">
        <is>
          <t>2024-08-14</t>
        </is>
      </c>
      <c r="C9" s="15" t="inlineStr">
        <is>
          <t>Mars Inc. to Acquire Kellanova in $35.9 Billion Deal</t>
        </is>
      </c>
      <c r="E9" s="16" t="inlineStr">
        <is>
          <t>Mars Inc. announced it will acquire Kellanova, the snack giant behind Pringles, Cheez-It, and Pop-Tarts, in a deal valued at $35.9 billion. This mega-merger creates one of the world's largest snack co…</t>
        </is>
      </c>
      <c r="G9" s="14" t="inlineStr">
        <is>
          <t>Reuters</t>
        </is>
      </c>
      <c r="H9" s="17" t="inlineStr">
        <is>
          <t>Acquisition</t>
        </is>
      </c>
      <c r="I9" s="14" t="inlineStr">
        <is>
          <t>31.0</t>
        </is>
      </c>
    </row>
    <row r="10" ht="52" customHeight="1">
      <c r="B10" s="18" t="inlineStr">
        <is>
          <t>2024-01-15</t>
        </is>
      </c>
      <c r="C10" s="19" t="inlineStr">
        <is>
          <t>Unilever Acquires Minimalist Skincare for ₹2,955 Crore</t>
        </is>
      </c>
      <c r="E10" s="20" t="inlineStr">
        <is>
          <t>Hindustan Unilever Limited (HUL) has agreed to acquire a majority stake in Minimalist, the science-backed skincare brand founded in 2020. The deal values Minimalist at approximately ₹2,955 crore and m…</t>
        </is>
      </c>
      <c r="G10" s="18" t="inlineStr">
        <is>
          <t>Reuters</t>
        </is>
      </c>
      <c r="H10" s="17" t="inlineStr">
        <is>
          <t>Acquisition</t>
        </is>
      </c>
      <c r="I10" s="18" t="inlineStr">
        <is>
          <t>29.5</t>
        </is>
      </c>
    </row>
    <row r="11" ht="52" customHeight="1">
      <c r="B11" s="14" t="inlineStr">
        <is>
          <t>2023-09-11</t>
        </is>
      </c>
      <c r="C11" s="15" t="inlineStr">
        <is>
          <t>J.M. Smucker Acquires Hostess Brands for $5.6 Billion</t>
        </is>
      </c>
      <c r="E11" s="16" t="inlineStr">
        <is>
          <t>J.M. Smucker Company has completed its acquisition of Hostess Brands, maker of Twinkies and Ding Dongs, for approximately $5.6 billion. The deal expands Smucker's presence in the sweet baked goods cat…</t>
        </is>
      </c>
      <c r="G11" s="14" t="inlineStr">
        <is>
          <t>Reuters</t>
        </is>
      </c>
      <c r="H11" s="17" t="inlineStr">
        <is>
          <t>Acquisition</t>
        </is>
      </c>
      <c r="I11" s="14" t="inlineStr">
        <is>
          <t>29.5</t>
        </is>
      </c>
    </row>
    <row r="12" ht="52" customHeight="1">
      <c r="B12" s="18" t="inlineStr">
        <is>
          <t>2023-10-20</t>
        </is>
      </c>
      <c r="C12" s="19" t="inlineStr">
        <is>
          <t>Keurig Dr Pepper Takes Stake in Ghost Energy Drink</t>
        </is>
      </c>
      <c r="E12" s="20" t="inlineStr">
        <is>
          <t>Keurig Dr Pepper has entered into a commercial agreement to acquire a minority stake in Ghost Lifestyle, the energy drink brand, with rights to acquire a majority stake over time. Ghost Energy's rapid…</t>
        </is>
      </c>
      <c r="G12" s="18" t="inlineStr">
        <is>
          <t>CNBC</t>
        </is>
      </c>
      <c r="H12" s="17" t="inlineStr">
        <is>
          <t>Acquisition</t>
        </is>
      </c>
      <c r="I12" s="18" t="inlineStr">
        <is>
          <t>29.0</t>
        </is>
      </c>
    </row>
    <row r="13" ht="52" customHeight="1">
      <c r="B13" s="14" t="inlineStr">
        <is>
          <t>2021-03-15</t>
        </is>
      </c>
      <c r="C13" s="15" t="inlineStr">
        <is>
          <t>Marico Acquires Beardo Men's Grooming Brand — Sources Confirm</t>
        </is>
      </c>
      <c r="E13" s="16" t="inlineStr">
        <is>
          <t>Marico Limited has completed the acquisition of a majority stake in Beardo, the men's grooming startup known for beard care products. The deal strengthens Marico's position in the fast-growing premium…</t>
        </is>
      </c>
      <c r="G13" s="14" t="inlineStr">
        <is>
          <t>Financial Times</t>
        </is>
      </c>
      <c r="H13" s="17" t="inlineStr">
        <is>
          <t>Acquisition</t>
        </is>
      </c>
      <c r="I13" s="14" t="inlineStr">
        <is>
          <t>26.5</t>
        </is>
      </c>
    </row>
    <row r="14" ht="52" customHeight="1">
      <c r="B14" s="18" t="inlineStr">
        <is>
          <t>2023-02-11</t>
        </is>
      </c>
      <c r="C14" s="19" t="inlineStr">
        <is>
          <t>Nestlé Acquires Core Food Brand in Australia Dairy Deal</t>
        </is>
      </c>
      <c r="E14" s="20" t="inlineStr">
        <is>
          <t>Nestlé has acquired a core Australian dairy food brand to strengthen its nutrition portfolio in the Asia-Pacific region. The acquisition is part of Nestlé's accelerated strategy in the premium dairy a…</t>
        </is>
      </c>
      <c r="G14" s="18" t="inlineStr">
        <is>
          <t>Financial Times</t>
        </is>
      </c>
      <c r="H14" s="17" t="inlineStr">
        <is>
          <t>Acquisition</t>
        </is>
      </c>
      <c r="I14" s="18" t="inlineStr">
        <is>
          <t>26.5</t>
        </is>
      </c>
    </row>
    <row r="15" ht="52" customHeight="1">
      <c r="B15" s="14" t="inlineStr">
        <is>
          <t>2024-10-07</t>
        </is>
      </c>
      <c r="C15" s="15" t="inlineStr">
        <is>
          <t>PepsiCo Acquires Siete Foods in $1.2 Billion Deal</t>
        </is>
      </c>
      <c r="E15" s="16" t="inlineStr">
        <is>
          <t>PepsiCo has agreed to acquire Siete Foods, the Mexican-American heritage food brand known for grain-free tortillas and salsas, for $1.2 billion. The acquisition bolsters PepsiCo's better-for-you snack…</t>
        </is>
      </c>
      <c r="G15" s="14" t="inlineStr">
        <is>
          <t>Reuters</t>
        </is>
      </c>
      <c r="H15" s="17" t="inlineStr">
        <is>
          <t>Acquisition</t>
        </is>
      </c>
      <c r="I15" s="14" t="inlineStr">
        <is>
          <t>25.0</t>
        </is>
      </c>
    </row>
    <row r="16" ht="52" customHeight="1">
      <c r="B16" s="18" t="inlineStr">
        <is>
          <t>2019-09-05</t>
        </is>
      </c>
      <c r="C16" s="19" t="inlineStr">
        <is>
          <t>Wipro Consumer Care Acquires Splash Personal Care Brand</t>
        </is>
      </c>
      <c r="E16" s="20" t="inlineStr">
        <is>
          <t>Wipro Consumer Care and Lighting has acquired Splash, the Middle East personal care brand with operations in 37 countries, expanding its global footprint in skincare and cosmetics. The deal marks one …</t>
        </is>
      </c>
      <c r="G16" s="18" t="inlineStr">
        <is>
          <t>Economic Times</t>
        </is>
      </c>
      <c r="H16" s="17" t="inlineStr">
        <is>
          <t>Acquisition</t>
        </is>
      </c>
      <c r="I16" s="18" t="inlineStr">
        <is>
          <t>24.5</t>
        </is>
      </c>
    </row>
    <row r="17" ht="52" customHeight="1">
      <c r="B17" s="14" t="inlineStr">
        <is>
          <t>2020-12-04</t>
        </is>
      </c>
      <c r="C17" s="15" t="inlineStr">
        <is>
          <t>Hindustan Unilever Acquires VWash Intimate Hygiene Brand</t>
        </is>
      </c>
      <c r="E17" s="16" t="inlineStr">
        <is>
          <t>Hindustan Unilever has acquired the VWash brand from Glenmark Pharmaceuticals for approximately ₹108 crore. VWash is India's leading intimate hygiene brand for women, and the acquisition complements H…</t>
        </is>
      </c>
      <c r="G17" s="14" t="inlineStr">
        <is>
          <t>Mint</t>
        </is>
      </c>
      <c r="H17" s="17" t="inlineStr">
        <is>
          <t>Acquisition</t>
        </is>
      </c>
      <c r="I17" s="14" t="inlineStr">
        <is>
          <t>24.5</t>
        </is>
      </c>
    </row>
    <row r="18" ht="52" customHeight="1">
      <c r="B18" s="18" t="inlineStr">
        <is>
          <t>2023-10-01</t>
        </is>
      </c>
      <c r="C18" s="19" t="inlineStr">
        <is>
          <t>KKR Acquires Stake in Haldiram's Snacks for ₹8,500 Crore</t>
        </is>
      </c>
      <c r="E18" s="20" t="inlineStr">
        <is>
          <t>Global private equity firm KKR has agreed to acquire a significant minority stake in Haldiram's Snacks, India's largest namkeen and snacks manufacturer, for approximately ₹8,500 crore. The deal gives …</t>
        </is>
      </c>
      <c r="G18" s="18" t="inlineStr">
        <is>
          <t>Economic Times</t>
        </is>
      </c>
      <c r="H18" s="17" t="inlineStr">
        <is>
          <t>Acquisition</t>
        </is>
      </c>
      <c r="I18" s="18" t="inlineStr">
        <is>
          <t>24.0</t>
        </is>
      </c>
    </row>
    <row r="19" ht="52" customHeight="1">
      <c r="B19" s="14" t="inlineStr">
        <is>
          <t>2024-03-14</t>
        </is>
      </c>
      <c r="C19" s="15" t="inlineStr">
        <is>
          <t>PepsiCo Acquires Poppi Prebiotic Soda Brand — Sources Confirm</t>
        </is>
      </c>
      <c r="E19" s="16" t="inlineStr">
        <is>
          <t>PepsiCo has agreed to acquire Poppi, the Gen-Z favourite prebiotic soda brand, for approximately $1.95 billion. Poppi's gut-health positioning and viral social media presence make it a strategic fit f…</t>
        </is>
      </c>
      <c r="G19" s="14" t="inlineStr">
        <is>
          <t>Financial Times</t>
        </is>
      </c>
      <c r="H19" s="17" t="inlineStr">
        <is>
          <t>Acquisition</t>
        </is>
      </c>
      <c r="I19" s="14" t="inlineStr">
        <is>
          <t>24.0</t>
        </is>
      </c>
    </row>
    <row r="20" ht="52" customHeight="1">
      <c r="B20" s="18" t="inlineStr">
        <is>
          <t>2017-11-10</t>
        </is>
      </c>
      <c r="C20" s="19" t="inlineStr">
        <is>
          <t>Procter &amp; Gamble Acquires Native Natural Deodorant</t>
        </is>
      </c>
      <c r="E20" s="20" t="inlineStr">
        <is>
          <t>Procter &amp; Gamble has agreed to acquire Native, the natural and aluminum-free deodorant brand, for approximately $100 million. The acquisition marks P&amp;G's entry into the fast-growing natural personal c…</t>
        </is>
      </c>
      <c r="G20" s="18" t="inlineStr">
        <is>
          <t>Reuters</t>
        </is>
      </c>
      <c r="H20" s="17" t="inlineStr">
        <is>
          <t>Acquisition</t>
        </is>
      </c>
      <c r="I20" s="18" t="inlineStr">
        <is>
          <t>24.0</t>
        </is>
      </c>
    </row>
    <row r="21" ht="52" customHeight="1">
      <c r="B21" s="14" t="inlineStr">
        <is>
          <t>2021-07-15</t>
        </is>
      </c>
      <c r="C21" s="15" t="inlineStr">
        <is>
          <t>Tiger Global Invests in Mamaearth D2C Beauty Brand</t>
        </is>
      </c>
      <c r="E21" s="16" t="inlineStr">
        <is>
          <t>Tiger Global Management has led a $50 million funding round in Mamaearth, the fast-growing D2C personal care brand from Honasa Consumer. The investment values Mamaearth at over $1 billion, making it I…</t>
        </is>
      </c>
      <c r="G21" s="14" t="inlineStr">
        <is>
          <t>Financial Times</t>
        </is>
      </c>
      <c r="H21" s="21" t="inlineStr">
        <is>
          <t>Investment</t>
        </is>
      </c>
      <c r="I21" s="14" t="inlineStr">
        <is>
          <t>23.5</t>
        </is>
      </c>
    </row>
    <row r="22" ht="52" customHeight="1">
      <c r="B22" s="18" t="inlineStr">
        <is>
          <t>2020-09-01</t>
        </is>
      </c>
      <c r="C22" s="19" t="inlineStr">
        <is>
          <t>Unilever Acquires Liquid IV Hydration Brand</t>
        </is>
      </c>
      <c r="E22" s="20" t="inlineStr">
        <is>
          <t>Unilever has acquired Liquid I.V., the electrolyte drink mix brand known for its Cellular Transport Technology hydration multiplier products. The deal adds a high-growth functional hydration brand to …</t>
        </is>
      </c>
      <c r="G22" s="18" t="inlineStr">
        <is>
          <t>Bloomberg</t>
        </is>
      </c>
      <c r="H22" s="17" t="inlineStr">
        <is>
          <t>Acquisition</t>
        </is>
      </c>
      <c r="I22" s="18" t="inlineStr">
        <is>
          <t>23.5</t>
        </is>
      </c>
    </row>
    <row r="23" ht="52" customHeight="1">
      <c r="B23" s="14" t="inlineStr">
        <is>
          <t>2021-11-23</t>
        </is>
      </c>
      <c r="C23" s="15" t="inlineStr">
        <is>
          <t>Unilever and Pepsi Form Global Lipton Iced Tea Joint Venture</t>
        </is>
      </c>
      <c r="E23" s="16" t="inlineStr">
        <is>
          <t>Unilever and PepsiCo have announced an extension and restructuring of their global joint venture for Lipton ready-to-drink iced tea products. The partnership will be reorganised to create a standalone…</t>
        </is>
      </c>
      <c r="G23" s="14" t="inlineStr">
        <is>
          <t>Bloomberg</t>
        </is>
      </c>
      <c r="H23" s="22" t="inlineStr">
        <is>
          <t>Joint Venture</t>
        </is>
      </c>
      <c r="I23" s="14" t="inlineStr">
        <is>
          <t>23.0</t>
        </is>
      </c>
    </row>
    <row r="24" ht="52" customHeight="1">
      <c r="B24" s="18" t="inlineStr">
        <is>
          <t>2022-06-14</t>
        </is>
      </c>
      <c r="C24" s="19" t="inlineStr">
        <is>
          <t>Dabur Acquires Badshah Masala for ₹587 Crore</t>
        </is>
      </c>
      <c r="E24" s="20" t="inlineStr">
        <is>
          <t>Dabur India has completed the acquisition of Badshah Masala, one of India's leading spice brands, for ₹587 crore. The deal strengthens Dabur's food and beverage portfolio and gives it a strong foothol…</t>
        </is>
      </c>
      <c r="G24" s="18" t="inlineStr">
        <is>
          <t>Bloomberg</t>
        </is>
      </c>
      <c r="H24" s="17" t="inlineStr">
        <is>
          <t>Acquisition</t>
        </is>
      </c>
      <c r="I24" s="18" t="inlineStr">
        <is>
          <t>22.5</t>
        </is>
      </c>
    </row>
    <row r="25" ht="52" customHeight="1">
      <c r="B25" s="14" t="inlineStr">
        <is>
          <t>2023-03-13</t>
        </is>
      </c>
      <c r="C25" s="15" t="inlineStr">
        <is>
          <t>Heineken Acquires Distell Wine and Cider Business</t>
        </is>
      </c>
      <c r="E25" s="16" t="inlineStr">
        <is>
          <t>Heineken has completed the acquisition of Distell Group's wine and cider assets in Africa as part of a broader transaction. The deal strengthens Heineken's premium portfolio across Africa's growing mi…</t>
        </is>
      </c>
      <c r="G25" s="14" t="inlineStr">
        <is>
          <t>Reuters</t>
        </is>
      </c>
      <c r="H25" s="17" t="inlineStr">
        <is>
          <t>Acquisition</t>
        </is>
      </c>
      <c r="I25" s="14" t="inlineStr">
        <is>
          <t>22.0</t>
        </is>
      </c>
    </row>
    <row r="26" ht="52" customHeight="1">
      <c r="B26" s="18" t="inlineStr">
        <is>
          <t>2019-08-27</t>
        </is>
      </c>
      <c r="C26" s="19" t="inlineStr">
        <is>
          <t>Emami Acquires DermiCool Brand from Reckitt Benckiser</t>
        </is>
      </c>
      <c r="E26" s="20" t="inlineStr">
        <is>
          <t>Emami Limited has agreed to acquire the DermiCool prickly heat powder brand from Reckitt Benckiser India. The acquisition strengthens Emami's personal care portfolio and leverages its strong distribut…</t>
        </is>
      </c>
      <c r="G26" s="18" t="inlineStr">
        <is>
          <t>Financial Times</t>
        </is>
      </c>
      <c r="H26" s="17" t="inlineStr">
        <is>
          <t>Acquisition</t>
        </is>
      </c>
      <c r="I26" s="18" t="inlineStr">
        <is>
          <t>22.0</t>
        </is>
      </c>
    </row>
    <row r="27" ht="52" customHeight="1">
      <c r="B27" s="14" t="inlineStr">
        <is>
          <t>2022-01-18</t>
        </is>
      </c>
      <c r="C27" s="15" t="inlineStr">
        <is>
          <t>Breaking: ITC Acquires Yoga Bar Health Food Brand for ₹256 Crore</t>
        </is>
      </c>
      <c r="E27" s="16" t="inlineStr">
        <is>
          <t>ITC Limited has completed the acquisition of Yoga Bar, the direct-to-consumer health food and nutrition brand, for approximately ₹256 crore. The acquisition accelerates ITC's expansion in the health a…</t>
        </is>
      </c>
      <c r="G27" s="14" t="inlineStr">
        <is>
          <t>Forbes</t>
        </is>
      </c>
      <c r="H27" s="17" t="inlineStr">
        <is>
          <t>Acquisition</t>
        </is>
      </c>
      <c r="I27" s="14" t="inlineStr">
        <is>
          <t>21.5</t>
        </is>
      </c>
    </row>
    <row r="28" ht="52" customHeight="1">
      <c r="B28" s="18" t="inlineStr">
        <is>
          <t>2022-08-01</t>
        </is>
      </c>
      <c r="C28" s="19" t="inlineStr">
        <is>
          <t>Mondelez Acquires Clif Bar &amp; Company for $2.9 Billion</t>
        </is>
      </c>
      <c r="E28" s="20" t="inlineStr">
        <is>
          <t>Mondelez International has completed the acquisition of Clif Bar &amp; Company for approximately $2.9 billion, adding the iconic energy bar brand to its snacking portfolio. The deal strengthens Mondelez's…</t>
        </is>
      </c>
      <c r="G28" s="18" t="inlineStr">
        <is>
          <t>Bloomberg</t>
        </is>
      </c>
      <c r="H28" s="17" t="inlineStr">
        <is>
          <t>Acquisition</t>
        </is>
      </c>
      <c r="I28" s="18" t="inlineStr">
        <is>
          <t>21.5</t>
        </is>
      </c>
    </row>
    <row r="29" ht="28" customHeight="1">
      <c r="B29" s="23" t="inlineStr">
        <is>
          <t>Generated by FMCG Deal Intelligence Pipeline  |  March 18, 2026  |  For internal use only</t>
        </is>
      </c>
    </row>
  </sheetData>
  <mergeCells count="56">
    <mergeCell ref="F4:G4"/>
    <mergeCell ref="E12:F12"/>
    <mergeCell ref="C24:D24"/>
    <mergeCell ref="C15:D15"/>
    <mergeCell ref="E24:F24"/>
    <mergeCell ref="B6:H6"/>
    <mergeCell ref="C14:D14"/>
    <mergeCell ref="E23:F23"/>
    <mergeCell ref="E14:F14"/>
    <mergeCell ref="H4:I4"/>
    <mergeCell ref="E17:F17"/>
    <mergeCell ref="C26:D26"/>
    <mergeCell ref="E8:F8"/>
    <mergeCell ref="C20:D20"/>
    <mergeCell ref="E20:F20"/>
    <mergeCell ref="C10:D10"/>
    <mergeCell ref="C16:D16"/>
    <mergeCell ref="E10:F10"/>
    <mergeCell ref="C25:D25"/>
    <mergeCell ref="F5:G5"/>
    <mergeCell ref="E19:F19"/>
    <mergeCell ref="E28:F28"/>
    <mergeCell ref="E13:F13"/>
    <mergeCell ref="C22:D22"/>
    <mergeCell ref="B7:H7"/>
    <mergeCell ref="C9:D9"/>
    <mergeCell ref="B3:H3"/>
    <mergeCell ref="E9:F9"/>
    <mergeCell ref="C12:D12"/>
    <mergeCell ref="C21:D21"/>
    <mergeCell ref="E15:F15"/>
    <mergeCell ref="C11:D11"/>
    <mergeCell ref="C27:D27"/>
    <mergeCell ref="E11:F11"/>
    <mergeCell ref="E27:F27"/>
    <mergeCell ref="B2:H2"/>
    <mergeCell ref="D4:E4"/>
    <mergeCell ref="E26:F26"/>
    <mergeCell ref="C17:D17"/>
    <mergeCell ref="C23:D23"/>
    <mergeCell ref="C8:D8"/>
    <mergeCell ref="E16:F16"/>
    <mergeCell ref="B1:H1"/>
    <mergeCell ref="E25:F25"/>
    <mergeCell ref="B5:C5"/>
    <mergeCell ref="D5:E5"/>
    <mergeCell ref="C19:D19"/>
    <mergeCell ref="C28:D28"/>
    <mergeCell ref="H5:I5"/>
    <mergeCell ref="E22:F22"/>
    <mergeCell ref="C13:D13"/>
    <mergeCell ref="B29:H29"/>
    <mergeCell ref="C18:D18"/>
    <mergeCell ref="E18:F18"/>
    <mergeCell ref="B4:C4"/>
    <mergeCell ref="E21:F21"/>
  </mergeCells>
  <hyperlinks>
    <hyperlink xmlns:r="http://schemas.openxmlformats.org/officeDocument/2006/relationships" ref="C9" r:id="rId1"/>
    <hyperlink xmlns:r="http://schemas.openxmlformats.org/officeDocument/2006/relationships" ref="C10" r:id="rId2"/>
    <hyperlink xmlns:r="http://schemas.openxmlformats.org/officeDocument/2006/relationships" ref="C11" r:id="rId3"/>
    <hyperlink xmlns:r="http://schemas.openxmlformats.org/officeDocument/2006/relationships" ref="C12" r:id="rId4"/>
    <hyperlink xmlns:r="http://schemas.openxmlformats.org/officeDocument/2006/relationships" ref="C13" r:id="rId5"/>
    <hyperlink xmlns:r="http://schemas.openxmlformats.org/officeDocument/2006/relationships" ref="C14" r:id="rId6"/>
    <hyperlink xmlns:r="http://schemas.openxmlformats.org/officeDocument/2006/relationships" ref="C15" r:id="rId7"/>
    <hyperlink xmlns:r="http://schemas.openxmlformats.org/officeDocument/2006/relationships" ref="C16" r:id="rId8"/>
    <hyperlink xmlns:r="http://schemas.openxmlformats.org/officeDocument/2006/relationships" ref="C17" r:id="rId9"/>
    <hyperlink xmlns:r="http://schemas.openxmlformats.org/officeDocument/2006/relationships" ref="C18" r:id="rId10"/>
    <hyperlink xmlns:r="http://schemas.openxmlformats.org/officeDocument/2006/relationships" ref="C19" r:id="rId11"/>
    <hyperlink xmlns:r="http://schemas.openxmlformats.org/officeDocument/2006/relationships" ref="C20" r:id="rId12"/>
    <hyperlink xmlns:r="http://schemas.openxmlformats.org/officeDocument/2006/relationships" ref="C21" r:id="rId13"/>
    <hyperlink xmlns:r="http://schemas.openxmlformats.org/officeDocument/2006/relationships" ref="C22" r:id="rId14"/>
    <hyperlink xmlns:r="http://schemas.openxmlformats.org/officeDocument/2006/relationships" ref="C23" r:id="rId15"/>
    <hyperlink xmlns:r="http://schemas.openxmlformats.org/officeDocument/2006/relationships" ref="C24" r:id="rId16"/>
    <hyperlink xmlns:r="http://schemas.openxmlformats.org/officeDocument/2006/relationships" ref="C25" r:id="rId17"/>
    <hyperlink xmlns:r="http://schemas.openxmlformats.org/officeDocument/2006/relationships" ref="C26" r:id="rId18"/>
    <hyperlink xmlns:r="http://schemas.openxmlformats.org/officeDocument/2006/relationships" ref="C27" r:id="rId19"/>
    <hyperlink xmlns:r="http://schemas.openxmlformats.org/officeDocument/2006/relationships" ref="C28" r:id="rId20"/>
  </hyperlinks>
  <pageMargins left="0.75" right="0.75" top="1" bottom="1" header="0.5" footer="0.5"/>
</worksheet>
</file>

<file path=xl/worksheets/sheet2.xml><?xml version="1.0" encoding="utf-8"?>
<worksheet xmlns="http://schemas.openxmlformats.org/spreadsheetml/2006/main">
  <sheetPr>
    <tabColor rgb="000D7377"/>
    <outlinePr summaryBelow="1" summaryRight="1"/>
    <pageSetUpPr/>
  </sheetPr>
  <dimension ref="B1:F14"/>
  <sheetViews>
    <sheetView showGridLines="0" workbookViewId="0">
      <selection activeCell="A1" sqref="A1"/>
    </sheetView>
  </sheetViews>
  <sheetFormatPr baseColWidth="8" defaultRowHeight="15"/>
  <cols>
    <col width="3" customWidth="1" min="1" max="1"/>
    <col width="25" customWidth="1" min="2" max="2"/>
    <col width="15" customWidth="1" min="3" max="3"/>
    <col width="18" customWidth="1" min="4" max="4"/>
    <col width="20" customWidth="1" min="5" max="5"/>
    <col width="18" customWidth="1" min="6" max="6"/>
    <col width="3" customWidth="1" min="7" max="7"/>
  </cols>
  <sheetData>
    <row r="1" ht="28" customHeight="1">
      <c r="B1" s="24" t="inlineStr">
        <is>
          <t>SUMMARY — BY CATEGORY</t>
        </is>
      </c>
    </row>
    <row r="3" ht="20" customHeight="1">
      <c r="B3" s="25" t="inlineStr">
        <is>
          <t>Category</t>
        </is>
      </c>
      <c r="C3" s="25" t="inlineStr">
        <is>
          <t># Records</t>
        </is>
      </c>
      <c r="D3" s="25" t="inlineStr">
        <is>
          <t>Avg Relevance</t>
        </is>
      </c>
      <c r="E3" s="25" t="inlineStr">
        <is>
          <t>Avg Credibility</t>
        </is>
      </c>
      <c r="F3" s="25" t="inlineStr">
        <is>
          <t>Sources (sample)</t>
        </is>
      </c>
    </row>
    <row r="4" ht="22" customHeight="1">
      <c r="B4" s="26" t="inlineStr">
        <is>
          <t>Acquisition</t>
        </is>
      </c>
      <c r="C4" s="27" t="n">
        <v>29</v>
      </c>
      <c r="D4" s="27" t="inlineStr">
        <is>
          <t>23.2</t>
        </is>
      </c>
      <c r="E4" s="27" t="inlineStr">
        <is>
          <t>8.6</t>
        </is>
      </c>
      <c r="F4" s="28" t="inlineStr">
        <is>
          <t>Bloomberg, CNBC, Economic Times</t>
        </is>
      </c>
    </row>
    <row r="5" ht="22" customHeight="1">
      <c r="B5" s="29" t="inlineStr">
        <is>
          <t>Investment</t>
        </is>
      </c>
      <c r="C5" s="27" t="n">
        <v>7</v>
      </c>
      <c r="D5" s="27" t="inlineStr">
        <is>
          <t>18.8</t>
        </is>
      </c>
      <c r="E5" s="27" t="inlineStr">
        <is>
          <t>7.9</t>
        </is>
      </c>
      <c r="F5" s="28" t="inlineStr">
        <is>
          <t>Economic Times, Financial Times, Mint</t>
        </is>
      </c>
    </row>
    <row r="6" ht="22" customHeight="1">
      <c r="B6" s="30" t="inlineStr">
        <is>
          <t>Divestiture</t>
        </is>
      </c>
      <c r="C6" s="27" t="n">
        <v>4</v>
      </c>
      <c r="D6" s="27" t="inlineStr">
        <is>
          <t>18.2</t>
        </is>
      </c>
      <c r="E6" s="27" t="inlineStr">
        <is>
          <t>9.0</t>
        </is>
      </c>
      <c r="F6" s="28" t="inlineStr">
        <is>
          <t>Bloomberg, Financial Times, Reuters</t>
        </is>
      </c>
    </row>
    <row r="7" ht="22" customHeight="1">
      <c r="B7" s="31" t="inlineStr">
        <is>
          <t>Joint Venture</t>
        </is>
      </c>
      <c r="C7" s="27" t="n">
        <v>2</v>
      </c>
      <c r="D7" s="27" t="inlineStr">
        <is>
          <t>21.5</t>
        </is>
      </c>
      <c r="E7" s="27" t="inlineStr">
        <is>
          <t>8.0</t>
        </is>
      </c>
      <c r="F7" s="28" t="inlineStr">
        <is>
          <t>Bloomberg, Economic Times</t>
        </is>
      </c>
    </row>
    <row r="10">
      <c r="B10" t="inlineStr">
        <is>
          <t>Category</t>
        </is>
      </c>
      <c r="C10" t="inlineStr">
        <is>
          <t>Count</t>
        </is>
      </c>
    </row>
    <row r="11">
      <c r="B11" t="inlineStr">
        <is>
          <t>Acquisition</t>
        </is>
      </c>
      <c r="C11" t="n">
        <v>29</v>
      </c>
    </row>
    <row r="12">
      <c r="B12" t="inlineStr">
        <is>
          <t>Investment</t>
        </is>
      </c>
      <c r="C12" t="n">
        <v>7</v>
      </c>
    </row>
    <row r="13">
      <c r="B13" t="inlineStr">
        <is>
          <t>Divestiture</t>
        </is>
      </c>
      <c r="C13" t="n">
        <v>4</v>
      </c>
    </row>
    <row r="14">
      <c r="B14" t="inlineStr">
        <is>
          <t>Joint Venture</t>
        </is>
      </c>
      <c r="C14" t="n">
        <v>2</v>
      </c>
    </row>
  </sheetData>
  <mergeCells count="1">
    <mergeCell ref="B1:F1"/>
  </mergeCells>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tabColor rgb="001E8449"/>
    <outlinePr summaryBelow="1" summaryRight="1"/>
    <pageSetUpPr/>
  </sheetPr>
  <dimension ref="A1:N43"/>
  <sheetViews>
    <sheetView showGridLines="1" workbookViewId="0">
      <selection activeCell="A1" sqref="A1"/>
    </sheetView>
  </sheetViews>
  <sheetFormatPr baseColWidth="8" defaultRowHeight="15"/>
  <cols>
    <col width="6" customWidth="1" min="1" max="1"/>
    <col width="50" customWidth="1" min="2" max="2"/>
    <col width="18" customWidth="1" min="3" max="3"/>
    <col width="14" customWidth="1" min="4" max="4"/>
    <col width="18" customWidth="1" min="5" max="5"/>
    <col width="13" customWidth="1" min="6" max="6"/>
    <col width="12" customWidth="1" min="7" max="7"/>
    <col width="13" customWidth="1" min="8" max="8"/>
    <col width="17" customWidth="1" min="9" max="9"/>
    <col width="15" customWidth="1" min="10" max="10"/>
    <col width="12" customWidth="1" min="11" max="11"/>
    <col width="30" customWidth="1" min="12" max="12"/>
    <col width="10" customWidth="1" min="13" max="13"/>
    <col width="40" customWidth="1" min="14" max="14"/>
  </cols>
  <sheetData>
    <row r="1" ht="20" customHeight="1">
      <c r="A1" s="32" t="inlineStr">
        <is>
          <t>ID</t>
        </is>
      </c>
      <c r="B1" s="32" t="inlineStr">
        <is>
          <t>Title</t>
        </is>
      </c>
      <c r="C1" s="32" t="inlineStr">
        <is>
          <t>Source</t>
        </is>
      </c>
      <c r="D1" s="32" t="inlineStr">
        <is>
          <t>Published Date</t>
        </is>
      </c>
      <c r="E1" s="32" t="inlineStr">
        <is>
          <t>Category</t>
        </is>
      </c>
      <c r="F1" s="32" t="inlineStr">
        <is>
          <t>Domain Score</t>
        </is>
      </c>
      <c r="G1" s="32" t="inlineStr">
        <is>
          <t>Deal Score</t>
        </is>
      </c>
      <c r="H1" s="32" t="inlineStr">
        <is>
          <t>Recency Score</t>
        </is>
      </c>
      <c r="I1" s="32" t="inlineStr">
        <is>
          <t>Credibility Score</t>
        </is>
      </c>
      <c r="J1" s="32" t="inlineStr">
        <is>
          <t>Relevance Score</t>
        </is>
      </c>
      <c r="K1" s="32" t="inlineStr">
        <is>
          <t>Source Tier</t>
        </is>
      </c>
      <c r="L1" s="32" t="inlineStr">
        <is>
          <t>Credibility Flag</t>
        </is>
      </c>
      <c r="M1" s="32" t="inlineStr">
        <is>
          <t>Link Valid</t>
        </is>
      </c>
      <c r="N1" s="32" t="inlineStr">
        <is>
          <t>URL</t>
        </is>
      </c>
    </row>
    <row r="2" ht="30" customHeight="1">
      <c r="A2" s="33" t="inlineStr">
        <is>
          <t>ART0024</t>
        </is>
      </c>
      <c r="B2" s="33" t="inlineStr">
        <is>
          <t>Mars Inc. to Acquire Kellanova in $35.9 Billion Deal</t>
        </is>
      </c>
      <c r="C2" s="33" t="inlineStr">
        <is>
          <t>Reuters</t>
        </is>
      </c>
      <c r="D2" s="33" t="inlineStr">
        <is>
          <t>2024-08-14</t>
        </is>
      </c>
      <c r="E2" s="33" t="inlineStr">
        <is>
          <t>Acquisition</t>
        </is>
      </c>
      <c r="F2" s="33" t="n">
        <v>13.5</v>
      </c>
      <c r="G2" s="33" t="n">
        <v>8.5</v>
      </c>
      <c r="H2" s="33" t="n">
        <v>0</v>
      </c>
      <c r="I2" s="33" t="n">
        <v>9</v>
      </c>
      <c r="J2" s="33" t="n">
        <v>31</v>
      </c>
      <c r="K2" s="33" t="n">
        <v>1</v>
      </c>
      <c r="L2" s="33" t="inlineStr">
        <is>
          <t>Tier 1 – verified outlet</t>
        </is>
      </c>
      <c r="M2" s="34" t="inlineStr">
        <is>
          <t>✓</t>
        </is>
      </c>
      <c r="N2" s="35" t="inlineStr">
        <is>
          <t>https://www.reuters.com/business/coca-cola-acquires-bodyarmo</t>
        </is>
      </c>
    </row>
    <row r="3" ht="30" customHeight="1">
      <c r="A3" s="36" t="inlineStr">
        <is>
          <t>ART0087</t>
        </is>
      </c>
      <c r="B3" s="36" t="inlineStr">
        <is>
          <t>Unilever Acquires Minimalist Skincare for ₹2,955 Crore</t>
        </is>
      </c>
      <c r="C3" s="36" t="inlineStr">
        <is>
          <t>Reuters</t>
        </is>
      </c>
      <c r="D3" s="36" t="inlineStr">
        <is>
          <t>2024-01-15</t>
        </is>
      </c>
      <c r="E3" s="36" t="inlineStr">
        <is>
          <t>Acquisition</t>
        </is>
      </c>
      <c r="F3" s="36" t="n">
        <v>9.5</v>
      </c>
      <c r="G3" s="36" t="n">
        <v>11</v>
      </c>
      <c r="H3" s="36" t="n">
        <v>0</v>
      </c>
      <c r="I3" s="36" t="n">
        <v>9</v>
      </c>
      <c r="J3" s="36" t="n">
        <v>29.5</v>
      </c>
      <c r="K3" s="36" t="n">
        <v>1</v>
      </c>
      <c r="L3" s="36" t="inlineStr">
        <is>
          <t>Tier 1 – verified outlet</t>
        </is>
      </c>
      <c r="M3" s="37" t="inlineStr">
        <is>
          <t>✓</t>
        </is>
      </c>
      <c r="N3" s="38" t="inlineStr">
        <is>
          <t>https://www.reuters.com/business/retail-consumer/pepsico-buy</t>
        </is>
      </c>
    </row>
    <row r="4" ht="30" customHeight="1">
      <c r="A4" s="33" t="inlineStr">
        <is>
          <t>ART0050</t>
        </is>
      </c>
      <c r="B4" s="33" t="inlineStr">
        <is>
          <t>J.M. Smucker Acquires Hostess Brands for $5.6 Billion</t>
        </is>
      </c>
      <c r="C4" s="33" t="inlineStr">
        <is>
          <t>Reuters</t>
        </is>
      </c>
      <c r="D4" s="33" t="inlineStr">
        <is>
          <t>2023-09-11</t>
        </is>
      </c>
      <c r="E4" s="33" t="inlineStr">
        <is>
          <t>Acquisition</t>
        </is>
      </c>
      <c r="F4" s="33" t="n">
        <v>12</v>
      </c>
      <c r="G4" s="33" t="n">
        <v>8.5</v>
      </c>
      <c r="H4" s="33" t="n">
        <v>0</v>
      </c>
      <c r="I4" s="33" t="n">
        <v>9</v>
      </c>
      <c r="J4" s="33" t="n">
        <v>29.5</v>
      </c>
      <c r="K4" s="33" t="n">
        <v>1</v>
      </c>
      <c r="L4" s="33" t="inlineStr">
        <is>
          <t>Tier 1 – verified outlet</t>
        </is>
      </c>
      <c r="M4" s="34" t="inlineStr">
        <is>
          <t>✓</t>
        </is>
      </c>
      <c r="N4" s="35" t="inlineStr">
        <is>
          <t>https://www.reuters.com/business/nestle-sells-its-north-amer</t>
        </is>
      </c>
    </row>
    <row r="5" ht="30" customHeight="1">
      <c r="A5" s="36" t="inlineStr">
        <is>
          <t>ART0489</t>
        </is>
      </c>
      <c r="B5" s="36" t="inlineStr">
        <is>
          <t>Keurig Dr Pepper Takes Stake in Ghost Energy Drink</t>
        </is>
      </c>
      <c r="C5" s="36" t="inlineStr">
        <is>
          <t>CNBC</t>
        </is>
      </c>
      <c r="D5" s="36" t="inlineStr">
        <is>
          <t>2023-10-20</t>
        </is>
      </c>
      <c r="E5" s="36" t="inlineStr">
        <is>
          <t>Acquisition</t>
        </is>
      </c>
      <c r="F5" s="36" t="n">
        <v>9.5</v>
      </c>
      <c r="G5" s="36" t="n">
        <v>12.5</v>
      </c>
      <c r="H5" s="36" t="n">
        <v>0</v>
      </c>
      <c r="I5" s="36" t="n">
        <v>7</v>
      </c>
      <c r="J5" s="36" t="n">
        <v>29</v>
      </c>
      <c r="K5" s="36" t="n">
        <v>2</v>
      </c>
      <c r="L5" s="36" t="inlineStr">
        <is>
          <t>Tier 2 – verified outlet</t>
        </is>
      </c>
      <c r="M5" s="37" t="inlineStr">
        <is>
          <t>✓</t>
        </is>
      </c>
      <c r="N5" s="38" t="inlineStr">
        <is>
          <t>https://www.cnbc.com/2024/03/14/pepsico-acquires-poppi-prebi</t>
        </is>
      </c>
    </row>
    <row r="6" ht="30" customHeight="1">
      <c r="A6" s="33" t="inlineStr">
        <is>
          <t>ART0004</t>
        </is>
      </c>
      <c r="B6" s="33" t="inlineStr">
        <is>
          <t>Marico Acquires Beardo Men's Grooming Brand — Sources Confirm</t>
        </is>
      </c>
      <c r="C6" s="33" t="inlineStr">
        <is>
          <t>Financial Times</t>
        </is>
      </c>
      <c r="D6" s="33" t="inlineStr">
        <is>
          <t>2021-03-15</t>
        </is>
      </c>
      <c r="E6" s="33" t="inlineStr">
        <is>
          <t>Acquisition</t>
        </is>
      </c>
      <c r="F6" s="33" t="n">
        <v>4</v>
      </c>
      <c r="G6" s="33" t="n">
        <v>13.5</v>
      </c>
      <c r="H6" s="33" t="n">
        <v>0</v>
      </c>
      <c r="I6" s="33" t="n">
        <v>9</v>
      </c>
      <c r="J6" s="33" t="n">
        <v>26.5</v>
      </c>
      <c r="K6" s="33" t="n">
        <v>1</v>
      </c>
      <c r="L6" s="33" t="inlineStr">
        <is>
          <t>Tier 1 – verified outlet</t>
        </is>
      </c>
      <c r="M6" s="34" t="inlineStr">
        <is>
          <t>✓</t>
        </is>
      </c>
      <c r="N6" s="35" t="inlineStr">
        <is>
          <t>https://economictimes.indiatimes.com/industry/cons-products/</t>
        </is>
      </c>
    </row>
    <row r="7" ht="30" customHeight="1">
      <c r="A7" s="36" t="inlineStr">
        <is>
          <t>ART0134</t>
        </is>
      </c>
      <c r="B7" s="36" t="inlineStr">
        <is>
          <t>Nestlé Acquires Core Food Brand in Australia Dairy Deal</t>
        </is>
      </c>
      <c r="C7" s="36" t="inlineStr">
        <is>
          <t>Financial Times</t>
        </is>
      </c>
      <c r="D7" s="36" t="inlineStr">
        <is>
          <t>2023-02-11</t>
        </is>
      </c>
      <c r="E7" s="36" t="inlineStr">
        <is>
          <t>Acquisition</t>
        </is>
      </c>
      <c r="F7" s="36" t="n">
        <v>6.5</v>
      </c>
      <c r="G7" s="36" t="n">
        <v>11</v>
      </c>
      <c r="H7" s="36" t="n">
        <v>0</v>
      </c>
      <c r="I7" s="36" t="n">
        <v>9</v>
      </c>
      <c r="J7" s="36" t="n">
        <v>26.5</v>
      </c>
      <c r="K7" s="36" t="n">
        <v>1</v>
      </c>
      <c r="L7" s="36" t="inlineStr">
        <is>
          <t>Tier 1 – verified outlet</t>
        </is>
      </c>
      <c r="M7" s="37" t="inlineStr">
        <is>
          <t>✓</t>
        </is>
      </c>
      <c r="N7" s="38" t="inlineStr">
        <is>
          <t>https://www.bloomberg.com/news/articles/2024-01-15/unilever-</t>
        </is>
      </c>
    </row>
    <row r="8" ht="30" customHeight="1">
      <c r="A8" s="33" t="inlineStr">
        <is>
          <t>ART0504</t>
        </is>
      </c>
      <c r="B8" s="33" t="inlineStr">
        <is>
          <t>PepsiCo Acquires Siete Foods in $1.2 Billion Deal</t>
        </is>
      </c>
      <c r="C8" s="33" t="inlineStr">
        <is>
          <t>Reuters</t>
        </is>
      </c>
      <c r="D8" s="33" t="inlineStr">
        <is>
          <t>2024-10-07</t>
        </is>
      </c>
      <c r="E8" s="33" t="inlineStr">
        <is>
          <t>Acquisition</t>
        </is>
      </c>
      <c r="F8" s="33" t="n">
        <v>7.5</v>
      </c>
      <c r="G8" s="33" t="n">
        <v>8.5</v>
      </c>
      <c r="H8" s="33" t="n">
        <v>0</v>
      </c>
      <c r="I8" s="33" t="n">
        <v>9</v>
      </c>
      <c r="J8" s="33" t="n">
        <v>25</v>
      </c>
      <c r="K8" s="33" t="n">
        <v>1</v>
      </c>
      <c r="L8" s="33" t="inlineStr">
        <is>
          <t>Tier 1 – verified outlet</t>
        </is>
      </c>
      <c r="M8" s="34" t="inlineStr">
        <is>
          <t>✓</t>
        </is>
      </c>
      <c r="N8" s="35" t="inlineStr">
        <is>
          <t>https://www.reuters.com/business/procter-gamble-acquires-nat</t>
        </is>
      </c>
    </row>
    <row r="9" ht="30" customHeight="1">
      <c r="A9" s="36" t="inlineStr">
        <is>
          <t>ART0514</t>
        </is>
      </c>
      <c r="B9" s="36" t="inlineStr">
        <is>
          <t>Wipro Consumer Care Acquires Splash Personal Care Brand</t>
        </is>
      </c>
      <c r="C9" s="36" t="inlineStr">
        <is>
          <t>Economic Times</t>
        </is>
      </c>
      <c r="D9" s="36" t="inlineStr">
        <is>
          <t>2019-09-05</t>
        </is>
      </c>
      <c r="E9" s="36" t="inlineStr">
        <is>
          <t>Acquisition</t>
        </is>
      </c>
      <c r="F9" s="36" t="n">
        <v>6.5</v>
      </c>
      <c r="G9" s="36" t="n">
        <v>11</v>
      </c>
      <c r="H9" s="36" t="n">
        <v>0</v>
      </c>
      <c r="I9" s="36" t="n">
        <v>7</v>
      </c>
      <c r="J9" s="36" t="n">
        <v>24.5</v>
      </c>
      <c r="K9" s="36" t="n">
        <v>2</v>
      </c>
      <c r="L9" s="36" t="inlineStr">
        <is>
          <t>Tier 2 – verified outlet</t>
        </is>
      </c>
      <c r="M9" s="37" t="inlineStr">
        <is>
          <t>✓</t>
        </is>
      </c>
      <c r="N9" s="38" t="inlineStr">
        <is>
          <t>https://economictimes.indiatimes.com/industry/cons-products/</t>
        </is>
      </c>
    </row>
    <row r="10" ht="30" customHeight="1">
      <c r="A10" s="33" t="inlineStr">
        <is>
          <t>ART0440</t>
        </is>
      </c>
      <c r="B10" s="33" t="inlineStr">
        <is>
          <t>Hindustan Unilever Acquires VWash Intimate Hygiene Brand</t>
        </is>
      </c>
      <c r="C10" s="33" t="inlineStr">
        <is>
          <t>Mint</t>
        </is>
      </c>
      <c r="D10" s="33" t="inlineStr">
        <is>
          <t>2020-12-04</t>
        </is>
      </c>
      <c r="E10" s="33" t="inlineStr">
        <is>
          <t>Acquisition</t>
        </is>
      </c>
      <c r="F10" s="33" t="n">
        <v>7.5</v>
      </c>
      <c r="G10" s="33" t="n">
        <v>10</v>
      </c>
      <c r="H10" s="33" t="n">
        <v>0</v>
      </c>
      <c r="I10" s="33" t="n">
        <v>7</v>
      </c>
      <c r="J10" s="33" t="n">
        <v>24.5</v>
      </c>
      <c r="K10" s="33" t="n">
        <v>2</v>
      </c>
      <c r="L10" s="33" t="inlineStr">
        <is>
          <t>Tier 2 – verified outlet</t>
        </is>
      </c>
      <c r="M10" s="34" t="inlineStr">
        <is>
          <t>✓</t>
        </is>
      </c>
      <c r="N10" s="35" t="inlineStr">
        <is>
          <t>https://www.livemint.com/companies/news/nestle-acquires-core</t>
        </is>
      </c>
    </row>
    <row r="11" ht="30" customHeight="1">
      <c r="A11" s="36" t="inlineStr">
        <is>
          <t>ART0332</t>
        </is>
      </c>
      <c r="B11" s="36" t="inlineStr">
        <is>
          <t>KKR Acquires Stake in Haldiram's Snacks for ₹8,500 Crore</t>
        </is>
      </c>
      <c r="C11" s="36" t="inlineStr">
        <is>
          <t>Economic Times</t>
        </is>
      </c>
      <c r="D11" s="36" t="inlineStr">
        <is>
          <t>2023-10-01</t>
        </is>
      </c>
      <c r="E11" s="36" t="inlineStr">
        <is>
          <t>Acquisition</t>
        </is>
      </c>
      <c r="F11" s="36" t="n">
        <v>3.5</v>
      </c>
      <c r="G11" s="36" t="n">
        <v>13.5</v>
      </c>
      <c r="H11" s="36" t="n">
        <v>0</v>
      </c>
      <c r="I11" s="36" t="n">
        <v>7</v>
      </c>
      <c r="J11" s="36" t="n">
        <v>24</v>
      </c>
      <c r="K11" s="36" t="n">
        <v>2</v>
      </c>
      <c r="L11" s="36" t="inlineStr">
        <is>
          <t>Tier 2 – verified outlet</t>
        </is>
      </c>
      <c r="M11" s="37" t="inlineStr">
        <is>
          <t>✓</t>
        </is>
      </c>
      <c r="N11" s="38" t="inlineStr">
        <is>
          <t>https://economictimes.indiatimes.com/industry/cons-products/</t>
        </is>
      </c>
    </row>
    <row r="12" ht="30" customHeight="1">
      <c r="A12" s="33" t="inlineStr">
        <is>
          <t>ART0094</t>
        </is>
      </c>
      <c r="B12" s="33" t="inlineStr">
        <is>
          <t>PepsiCo Acquires Poppi Prebiotic Soda Brand — Sources Confirm</t>
        </is>
      </c>
      <c r="C12" s="33" t="inlineStr">
        <is>
          <t>Financial Times</t>
        </is>
      </c>
      <c r="D12" s="33" t="inlineStr">
        <is>
          <t>2024-03-14</t>
        </is>
      </c>
      <c r="E12" s="33" t="inlineStr">
        <is>
          <t>Acquisition</t>
        </is>
      </c>
      <c r="F12" s="33" t="n">
        <v>9</v>
      </c>
      <c r="G12" s="33" t="n">
        <v>6</v>
      </c>
      <c r="H12" s="33" t="n">
        <v>0</v>
      </c>
      <c r="I12" s="33" t="n">
        <v>9</v>
      </c>
      <c r="J12" s="33" t="n">
        <v>24</v>
      </c>
      <c r="K12" s="33" t="n">
        <v>1</v>
      </c>
      <c r="L12" s="33" t="inlineStr">
        <is>
          <t>Tier 1 – verified outlet</t>
        </is>
      </c>
      <c r="M12" s="34" t="inlineStr">
        <is>
          <t>✓</t>
        </is>
      </c>
      <c r="N12" s="35" t="inlineStr">
        <is>
          <t>https://www.cnbc.com/2024/03/14/pepsico-acquires-poppi-prebi</t>
        </is>
      </c>
    </row>
    <row r="13" ht="30" customHeight="1">
      <c r="A13" s="36" t="inlineStr">
        <is>
          <t>ART0132</t>
        </is>
      </c>
      <c r="B13" s="36" t="inlineStr">
        <is>
          <t>Procter &amp; Gamble Acquires Native Natural Deodorant</t>
        </is>
      </c>
      <c r="C13" s="36" t="inlineStr">
        <is>
          <t>Reuters</t>
        </is>
      </c>
      <c r="D13" s="36" t="inlineStr">
        <is>
          <t>2017-11-10</t>
        </is>
      </c>
      <c r="E13" s="36" t="inlineStr">
        <is>
          <t>Acquisition</t>
        </is>
      </c>
      <c r="F13" s="36" t="n">
        <v>7.5</v>
      </c>
      <c r="G13" s="36" t="n">
        <v>7.5</v>
      </c>
      <c r="H13" s="36" t="n">
        <v>0</v>
      </c>
      <c r="I13" s="36" t="n">
        <v>9</v>
      </c>
      <c r="J13" s="36" t="n">
        <v>24</v>
      </c>
      <c r="K13" s="36" t="n">
        <v>1</v>
      </c>
      <c r="L13" s="36" t="inlineStr">
        <is>
          <t>Tier 1 – verified outlet</t>
        </is>
      </c>
      <c r="M13" s="37" t="inlineStr">
        <is>
          <t>✓</t>
        </is>
      </c>
      <c r="N13" s="38" t="inlineStr">
        <is>
          <t>https://www.reuters.com/business/retail-consumer/unilever-ag</t>
        </is>
      </c>
    </row>
    <row r="14" ht="30" customHeight="1">
      <c r="A14" s="33" t="inlineStr">
        <is>
          <t>ART0383</t>
        </is>
      </c>
      <c r="B14" s="33" t="inlineStr">
        <is>
          <t>Tiger Global Invests in Mamaearth D2C Beauty Brand</t>
        </is>
      </c>
      <c r="C14" s="33" t="inlineStr">
        <is>
          <t>Financial Times</t>
        </is>
      </c>
      <c r="D14" s="33" t="inlineStr">
        <is>
          <t>2021-07-15</t>
        </is>
      </c>
      <c r="E14" s="33" t="inlineStr">
        <is>
          <t>Investment</t>
        </is>
      </c>
      <c r="F14" s="33" t="n">
        <v>7</v>
      </c>
      <c r="G14" s="33" t="n">
        <v>7.5</v>
      </c>
      <c r="H14" s="33" t="n">
        <v>0</v>
      </c>
      <c r="I14" s="33" t="n">
        <v>9</v>
      </c>
      <c r="J14" s="33" t="n">
        <v>23.5</v>
      </c>
      <c r="K14" s="33" t="n">
        <v>1</v>
      </c>
      <c r="L14" s="33" t="inlineStr">
        <is>
          <t>Tier 1 – verified outlet</t>
        </is>
      </c>
      <c r="M14" s="34" t="inlineStr">
        <is>
          <t>✓</t>
        </is>
      </c>
      <c r="N14" s="35" t="inlineStr">
        <is>
          <t>https://economictimes.indiatimes.com/industry/cons-products/</t>
        </is>
      </c>
    </row>
    <row r="15" ht="30" customHeight="1">
      <c r="A15" s="36" t="inlineStr">
        <is>
          <t>ART0344</t>
        </is>
      </c>
      <c r="B15" s="36" t="inlineStr">
        <is>
          <t>Unilever Acquires Liquid IV Hydration Brand</t>
        </is>
      </c>
      <c r="C15" s="36" t="inlineStr">
        <is>
          <t>Bloomberg</t>
        </is>
      </c>
      <c r="D15" s="36" t="inlineStr">
        <is>
          <t>2020-09-01</t>
        </is>
      </c>
      <c r="E15" s="36" t="inlineStr">
        <is>
          <t>Acquisition</t>
        </is>
      </c>
      <c r="F15" s="36" t="n">
        <v>6</v>
      </c>
      <c r="G15" s="36" t="n">
        <v>8.5</v>
      </c>
      <c r="H15" s="36" t="n">
        <v>0</v>
      </c>
      <c r="I15" s="36" t="n">
        <v>9</v>
      </c>
      <c r="J15" s="36" t="n">
        <v>23.5</v>
      </c>
      <c r="K15" s="36" t="n">
        <v>1</v>
      </c>
      <c r="L15" s="36" t="inlineStr">
        <is>
          <t>Tier 1 – verified outlet</t>
        </is>
      </c>
      <c r="M15" s="37" t="inlineStr">
        <is>
          <t>✓</t>
        </is>
      </c>
      <c r="N15" s="38" t="inlineStr">
        <is>
          <t>https://www.bloomberg.com/news/articles/2024-08-14/mars-kell</t>
        </is>
      </c>
    </row>
    <row r="16" ht="30" customHeight="1">
      <c r="A16" s="33" t="inlineStr">
        <is>
          <t>ART0436</t>
        </is>
      </c>
      <c r="B16" s="33" t="inlineStr">
        <is>
          <t>Unilever and Pepsi Form Global Lipton Iced Tea Joint Venture</t>
        </is>
      </c>
      <c r="C16" s="33" t="inlineStr">
        <is>
          <t>Bloomberg</t>
        </is>
      </c>
      <c r="D16" s="33" t="inlineStr">
        <is>
          <t>2021-11-23</t>
        </is>
      </c>
      <c r="E16" s="33" t="inlineStr">
        <is>
          <t>Joint Venture</t>
        </is>
      </c>
      <c r="F16" s="33" t="n">
        <v>9</v>
      </c>
      <c r="G16" s="33" t="n">
        <v>5</v>
      </c>
      <c r="H16" s="33" t="n">
        <v>0</v>
      </c>
      <c r="I16" s="33" t="n">
        <v>9</v>
      </c>
      <c r="J16" s="33" t="n">
        <v>23</v>
      </c>
      <c r="K16" s="33" t="n">
        <v>1</v>
      </c>
      <c r="L16" s="33" t="inlineStr">
        <is>
          <t>Tier 1 – verified outlet</t>
        </is>
      </c>
      <c r="M16" s="34" t="inlineStr">
        <is>
          <t>✓</t>
        </is>
      </c>
      <c r="N16" s="35" t="inlineStr">
        <is>
          <t>https://www.bloomberg.com/news/articles/2023-09-11/smuckers-</t>
        </is>
      </c>
    </row>
    <row r="17" ht="30" customHeight="1">
      <c r="A17" s="36" t="inlineStr">
        <is>
          <t>ART0459</t>
        </is>
      </c>
      <c r="B17" s="36" t="inlineStr">
        <is>
          <t>Dabur Acquires Badshah Masala for ₹587 Crore</t>
        </is>
      </c>
      <c r="C17" s="36" t="inlineStr">
        <is>
          <t>Bloomberg</t>
        </is>
      </c>
      <c r="D17" s="36" t="inlineStr">
        <is>
          <t>2022-06-14</t>
        </is>
      </c>
      <c r="E17" s="36" t="inlineStr">
        <is>
          <t>Acquisition</t>
        </is>
      </c>
      <c r="F17" s="36" t="n">
        <v>5</v>
      </c>
      <c r="G17" s="36" t="n">
        <v>8.5</v>
      </c>
      <c r="H17" s="36" t="n">
        <v>0</v>
      </c>
      <c r="I17" s="36" t="n">
        <v>9</v>
      </c>
      <c r="J17" s="36" t="n">
        <v>22.5</v>
      </c>
      <c r="K17" s="36" t="n">
        <v>1</v>
      </c>
      <c r="L17" s="36" t="inlineStr">
        <is>
          <t>Tier 1 – verified outlet</t>
        </is>
      </c>
      <c r="M17" s="37" t="inlineStr">
        <is>
          <t>✓</t>
        </is>
      </c>
      <c r="N17" s="38" t="inlineStr">
        <is>
          <t>https://www.bloomberg.com/news/articles/2023-08-08/campbells</t>
        </is>
      </c>
    </row>
    <row r="18" ht="30" customHeight="1">
      <c r="A18" s="33" t="inlineStr">
        <is>
          <t>ART0059</t>
        </is>
      </c>
      <c r="B18" s="33" t="inlineStr">
        <is>
          <t>Heineken Acquires Distell Wine and Cider Business</t>
        </is>
      </c>
      <c r="C18" s="33" t="inlineStr">
        <is>
          <t>Reuters</t>
        </is>
      </c>
      <c r="D18" s="33" t="inlineStr">
        <is>
          <t>2023-03-13</t>
        </is>
      </c>
      <c r="E18" s="33" t="inlineStr">
        <is>
          <t>Acquisition</t>
        </is>
      </c>
      <c r="F18" s="33" t="n">
        <v>3.5</v>
      </c>
      <c r="G18" s="33" t="n">
        <v>9.5</v>
      </c>
      <c r="H18" s="33" t="n">
        <v>0</v>
      </c>
      <c r="I18" s="33" t="n">
        <v>9</v>
      </c>
      <c r="J18" s="33" t="n">
        <v>22</v>
      </c>
      <c r="K18" s="33" t="n">
        <v>1</v>
      </c>
      <c r="L18" s="33" t="inlineStr">
        <is>
          <t>Tier 1 – verified outlet</t>
        </is>
      </c>
      <c r="M18" s="34" t="inlineStr">
        <is>
          <t>✓</t>
        </is>
      </c>
      <c r="N18" s="35" t="inlineStr">
        <is>
          <t>https://www.reuters.com/business/coca-cola-acquires-bodyarmo</t>
        </is>
      </c>
    </row>
    <row r="19" ht="30" customHeight="1">
      <c r="A19" s="36" t="inlineStr">
        <is>
          <t>ART0255</t>
        </is>
      </c>
      <c r="B19" s="36" t="inlineStr">
        <is>
          <t>Emami Acquires DermiCool Brand from Reckitt Benckiser</t>
        </is>
      </c>
      <c r="C19" s="36" t="inlineStr">
        <is>
          <t>Financial Times</t>
        </is>
      </c>
      <c r="D19" s="36" t="inlineStr">
        <is>
          <t>2019-08-27</t>
        </is>
      </c>
      <c r="E19" s="36" t="inlineStr">
        <is>
          <t>Acquisition</t>
        </is>
      </c>
      <c r="F19" s="36" t="n">
        <v>5.5</v>
      </c>
      <c r="G19" s="36" t="n">
        <v>7.5</v>
      </c>
      <c r="H19" s="36" t="n">
        <v>0</v>
      </c>
      <c r="I19" s="36" t="n">
        <v>9</v>
      </c>
      <c r="J19" s="36" t="n">
        <v>22</v>
      </c>
      <c r="K19" s="36" t="n">
        <v>1</v>
      </c>
      <c r="L19" s="36" t="inlineStr">
        <is>
          <t>Tier 1 – verified outlet</t>
        </is>
      </c>
      <c r="M19" s="37" t="inlineStr">
        <is>
          <t>✓</t>
        </is>
      </c>
      <c r="N19" s="38" t="inlineStr">
        <is>
          <t>https://www.cnbc.com/2023/10/20/keurig-dr-pepper-ghost-energ</t>
        </is>
      </c>
    </row>
    <row r="20" ht="30" customHeight="1">
      <c r="A20" s="33" t="inlineStr">
        <is>
          <t>ART0078</t>
        </is>
      </c>
      <c r="B20" s="33" t="inlineStr">
        <is>
          <t>Breaking: ITC Acquires Yoga Bar Health Food Brand for ₹256 Crore</t>
        </is>
      </c>
      <c r="C20" s="33" t="inlineStr">
        <is>
          <t>Forbes</t>
        </is>
      </c>
      <c r="D20" s="33" t="inlineStr">
        <is>
          <t>2022-01-18</t>
        </is>
      </c>
      <c r="E20" s="33" t="inlineStr">
        <is>
          <t>Acquisition</t>
        </is>
      </c>
      <c r="F20" s="33" t="n">
        <v>7</v>
      </c>
      <c r="G20" s="33" t="n">
        <v>7.5</v>
      </c>
      <c r="H20" s="33" t="n">
        <v>0</v>
      </c>
      <c r="I20" s="33" t="n">
        <v>7</v>
      </c>
      <c r="J20" s="33" t="n">
        <v>21.5</v>
      </c>
      <c r="K20" s="33" t="n">
        <v>2</v>
      </c>
      <c r="L20" s="33" t="inlineStr">
        <is>
          <t>Tier 2 – verified outlet</t>
        </is>
      </c>
      <c r="M20" s="34" t="inlineStr">
        <is>
          <t>✓</t>
        </is>
      </c>
      <c r="N20" s="35" t="inlineStr">
        <is>
          <t>https://economictimes.indiatimes.com/industry/cons-products/</t>
        </is>
      </c>
    </row>
    <row r="21" ht="30" customHeight="1">
      <c r="A21" s="36" t="inlineStr">
        <is>
          <t>ART0113</t>
        </is>
      </c>
      <c r="B21" s="36" t="inlineStr">
        <is>
          <t>Mondelez Acquires Clif Bar &amp; Company for $2.9 Billion</t>
        </is>
      </c>
      <c r="C21" s="36" t="inlineStr">
        <is>
          <t>Bloomberg</t>
        </is>
      </c>
      <c r="D21" s="36" t="inlineStr">
        <is>
          <t>2022-08-01</t>
        </is>
      </c>
      <c r="E21" s="36" t="inlineStr">
        <is>
          <t>Acquisition</t>
        </is>
      </c>
      <c r="F21" s="36" t="n">
        <v>4</v>
      </c>
      <c r="G21" s="36" t="n">
        <v>8.5</v>
      </c>
      <c r="H21" s="36" t="n">
        <v>0</v>
      </c>
      <c r="I21" s="36" t="n">
        <v>9</v>
      </c>
      <c r="J21" s="36" t="n">
        <v>21.5</v>
      </c>
      <c r="K21" s="36" t="n">
        <v>1</v>
      </c>
      <c r="L21" s="36" t="inlineStr">
        <is>
          <t>Tier 1 – verified outlet</t>
        </is>
      </c>
      <c r="M21" s="37" t="inlineStr">
        <is>
          <t>✓</t>
        </is>
      </c>
      <c r="N21" s="38" t="inlineStr">
        <is>
          <t>https://www.bloomberg.com/news/articles/2024-01-15/unilever-</t>
        </is>
      </c>
    </row>
    <row r="22" ht="30" customHeight="1">
      <c r="A22" s="33" t="inlineStr">
        <is>
          <t>ART0073</t>
        </is>
      </c>
      <c r="B22" s="33" t="inlineStr">
        <is>
          <t>Diageo Acquires Aviation American Gin for Up to $610 Million</t>
        </is>
      </c>
      <c r="C22" s="33" t="inlineStr">
        <is>
          <t>Reuters</t>
        </is>
      </c>
      <c r="D22" s="33" t="inlineStr">
        <is>
          <t>2020-08-10</t>
        </is>
      </c>
      <c r="E22" s="33" t="inlineStr">
        <is>
          <t>Acquisition</t>
        </is>
      </c>
      <c r="F22" s="33" t="n">
        <v>4</v>
      </c>
      <c r="G22" s="33" t="n">
        <v>8.5</v>
      </c>
      <c r="H22" s="33" t="n">
        <v>0</v>
      </c>
      <c r="I22" s="33" t="n">
        <v>9</v>
      </c>
      <c r="J22" s="33" t="n">
        <v>21.5</v>
      </c>
      <c r="K22" s="33" t="n">
        <v>1</v>
      </c>
      <c r="L22" s="33" t="inlineStr">
        <is>
          <t>Tier 1 – verified outlet</t>
        </is>
      </c>
      <c r="M22" s="34" t="inlineStr">
        <is>
          <t>✓</t>
        </is>
      </c>
      <c r="N22" s="35" t="inlineStr">
        <is>
          <t>https://www.reuters.com/business/retail-consumer/danone-sell</t>
        </is>
      </c>
    </row>
    <row r="23" ht="30" customHeight="1">
      <c r="A23" s="36" t="inlineStr">
        <is>
          <t>ART0184</t>
        </is>
      </c>
      <c r="B23" s="36" t="inlineStr">
        <is>
          <t>General Mills Acquires Pet Food Brand for $1.2 Billion</t>
        </is>
      </c>
      <c r="C23" s="36" t="inlineStr">
        <is>
          <t>Financial Times</t>
        </is>
      </c>
      <c r="D23" s="36" t="inlineStr">
        <is>
          <t>2023-09-05</t>
        </is>
      </c>
      <c r="E23" s="36" t="inlineStr">
        <is>
          <t>Acquisition</t>
        </is>
      </c>
      <c r="F23" s="36" t="n">
        <v>5</v>
      </c>
      <c r="G23" s="36" t="n">
        <v>7.5</v>
      </c>
      <c r="H23" s="36" t="n">
        <v>0</v>
      </c>
      <c r="I23" s="36" t="n">
        <v>9</v>
      </c>
      <c r="J23" s="36" t="n">
        <v>21.5</v>
      </c>
      <c r="K23" s="36" t="n">
        <v>1</v>
      </c>
      <c r="L23" s="36" t="inlineStr">
        <is>
          <t>Tier 1 – verified outlet</t>
        </is>
      </c>
      <c r="M23" s="37" t="inlineStr">
        <is>
          <t>✓</t>
        </is>
      </c>
      <c r="N23" s="38" t="inlineStr">
        <is>
          <t>https://www.cnbc.com/2024/03/14/pepsico-acquires-poppi-prebi</t>
        </is>
      </c>
    </row>
    <row r="24" ht="30" customHeight="1">
      <c r="A24" s="33" t="inlineStr">
        <is>
          <t>ART0130</t>
        </is>
      </c>
      <c r="B24" s="33" t="inlineStr">
        <is>
          <t>Nestlé Acquires Orgain Organic Nutrition Brand</t>
        </is>
      </c>
      <c r="C24" s="33" t="inlineStr">
        <is>
          <t>Bloomberg</t>
        </is>
      </c>
      <c r="D24" s="33" t="inlineStr">
        <is>
          <t>2022-04-01</t>
        </is>
      </c>
      <c r="E24" s="33" t="inlineStr">
        <is>
          <t>Acquisition</t>
        </is>
      </c>
      <c r="F24" s="33" t="n">
        <v>5</v>
      </c>
      <c r="G24" s="33" t="n">
        <v>7.5</v>
      </c>
      <c r="H24" s="33" t="n">
        <v>0</v>
      </c>
      <c r="I24" s="33" t="n">
        <v>9</v>
      </c>
      <c r="J24" s="33" t="n">
        <v>21.5</v>
      </c>
      <c r="K24" s="33" t="n">
        <v>1</v>
      </c>
      <c r="L24" s="33" t="inlineStr">
        <is>
          <t>Tier 1 – verified outlet</t>
        </is>
      </c>
      <c r="M24" s="34" t="inlineStr">
        <is>
          <t>✓</t>
        </is>
      </c>
      <c r="N24" s="35" t="inlineStr">
        <is>
          <t>https://www.bloomberg.com/news/articles/2023-08-08/campbells</t>
        </is>
      </c>
    </row>
    <row r="25" ht="30" customHeight="1">
      <c r="A25" s="36" t="inlineStr">
        <is>
          <t>ART0425</t>
        </is>
      </c>
      <c r="B25" s="36" t="inlineStr">
        <is>
          <t>Carlsberg Acquires Brixton Brewing Company</t>
        </is>
      </c>
      <c r="C25" s="36" t="inlineStr">
        <is>
          <t>Reuters</t>
        </is>
      </c>
      <c r="D25" s="36" t="inlineStr">
        <is>
          <t>2020-12-10</t>
        </is>
      </c>
      <c r="E25" s="36" t="inlineStr">
        <is>
          <t>Acquisition</t>
        </is>
      </c>
      <c r="F25" s="36" t="n">
        <v>3.5</v>
      </c>
      <c r="G25" s="36" t="n">
        <v>8.5</v>
      </c>
      <c r="H25" s="36" t="n">
        <v>0</v>
      </c>
      <c r="I25" s="36" t="n">
        <v>9</v>
      </c>
      <c r="J25" s="36" t="n">
        <v>21</v>
      </c>
      <c r="K25" s="36" t="n">
        <v>1</v>
      </c>
      <c r="L25" s="36" t="inlineStr">
        <is>
          <t>Tier 1 – verified outlet</t>
        </is>
      </c>
      <c r="M25" s="37" t="inlineStr">
        <is>
          <t>✓</t>
        </is>
      </c>
      <c r="N25" s="38" t="inlineStr">
        <is>
          <t>https://www.reuters.com/business/coca-cola-acquires-bodyarmo</t>
        </is>
      </c>
    </row>
    <row r="26" ht="30" customHeight="1">
      <c r="A26" s="33" t="inlineStr">
        <is>
          <t>ART0032</t>
        </is>
      </c>
      <c r="B26" s="33" t="inlineStr">
        <is>
          <t>Unilever Sells Dollar Shave Club to Private Equity</t>
        </is>
      </c>
      <c r="C26" s="33" t="inlineStr">
        <is>
          <t>Reuters</t>
        </is>
      </c>
      <c r="D26" s="33" t="inlineStr">
        <is>
          <t>2023-08-11</t>
        </is>
      </c>
      <c r="E26" s="33" t="inlineStr">
        <is>
          <t>Investment</t>
        </is>
      </c>
      <c r="F26" s="33" t="n">
        <v>2</v>
      </c>
      <c r="G26" s="33" t="n">
        <v>10</v>
      </c>
      <c r="H26" s="33" t="n">
        <v>0</v>
      </c>
      <c r="I26" s="33" t="n">
        <v>9</v>
      </c>
      <c r="J26" s="33" t="n">
        <v>21</v>
      </c>
      <c r="K26" s="33" t="n">
        <v>1</v>
      </c>
      <c r="L26" s="33" t="inlineStr">
        <is>
          <t>Tier 1 – verified outlet</t>
        </is>
      </c>
      <c r="M26" s="34" t="inlineStr">
        <is>
          <t>✓</t>
        </is>
      </c>
      <c r="N26" s="35" t="inlineStr">
        <is>
          <t>https://www.reuters.com/business/retail-consumer/danone-sell</t>
        </is>
      </c>
    </row>
    <row r="27" ht="30" customHeight="1">
      <c r="A27" s="36" t="inlineStr">
        <is>
          <t>ART0408</t>
        </is>
      </c>
      <c r="B27" s="36" t="inlineStr">
        <is>
          <t>Ferrero Acquires Fox's Biscuits from 2 Sisters Food Group</t>
        </is>
      </c>
      <c r="C27" s="36" t="inlineStr">
        <is>
          <t>Reuters</t>
        </is>
      </c>
      <c r="D27" s="36" t="inlineStr">
        <is>
          <t>2020-09-03</t>
        </is>
      </c>
      <c r="E27" s="36" t="inlineStr">
        <is>
          <t>Acquisition</t>
        </is>
      </c>
      <c r="F27" s="36" t="n">
        <v>3.5</v>
      </c>
      <c r="G27" s="36" t="n">
        <v>8.5</v>
      </c>
      <c r="H27" s="36" t="n">
        <v>0</v>
      </c>
      <c r="I27" s="36" t="n">
        <v>9</v>
      </c>
      <c r="J27" s="36" t="n">
        <v>21</v>
      </c>
      <c r="K27" s="36" t="n">
        <v>1</v>
      </c>
      <c r="L27" s="36" t="inlineStr">
        <is>
          <t>Tier 1 – verified outlet</t>
        </is>
      </c>
      <c r="M27" s="37" t="inlineStr">
        <is>
          <t>✓</t>
        </is>
      </c>
      <c r="N27" s="38" t="inlineStr">
        <is>
          <t>https://www.reuters.com/business/retail-consumer/unilever-ag</t>
        </is>
      </c>
    </row>
    <row r="28" ht="30" customHeight="1">
      <c r="A28" s="33" t="inlineStr">
        <is>
          <t>ART0204</t>
        </is>
      </c>
      <c r="B28" s="33" t="inlineStr">
        <is>
          <t>AB InBev Acquires Craft Beer Portfolio from Various Brands</t>
        </is>
      </c>
      <c r="C28" s="33" t="inlineStr">
        <is>
          <t>Bloomberg</t>
        </is>
      </c>
      <c r="D28" s="33" t="inlineStr">
        <is>
          <t>2023-04-22</t>
        </is>
      </c>
      <c r="E28" s="33" t="inlineStr">
        <is>
          <t>Acquisition</t>
        </is>
      </c>
      <c r="F28" s="33" t="n">
        <v>3.5</v>
      </c>
      <c r="G28" s="33" t="n">
        <v>8.5</v>
      </c>
      <c r="H28" s="33" t="n">
        <v>0</v>
      </c>
      <c r="I28" s="33" t="n">
        <v>9</v>
      </c>
      <c r="J28" s="33" t="n">
        <v>21</v>
      </c>
      <c r="K28" s="33" t="n">
        <v>1</v>
      </c>
      <c r="L28" s="33" t="inlineStr">
        <is>
          <t>Tier 1 – verified outlet</t>
        </is>
      </c>
      <c r="M28" s="34" t="inlineStr">
        <is>
          <t>✓</t>
        </is>
      </c>
      <c r="N28" s="35" t="inlineStr">
        <is>
          <t>https://www.bloomberg.com/news/articles/2024-03-14/pepsico-p</t>
        </is>
      </c>
    </row>
    <row r="29" ht="30" customHeight="1">
      <c r="A29" s="36" t="inlineStr">
        <is>
          <t>ART0329</t>
        </is>
      </c>
      <c r="B29" s="36" t="inlineStr">
        <is>
          <t>Sequoia Capital Invests in Epigamia Greek Yogurt Brand</t>
        </is>
      </c>
      <c r="C29" s="36" t="inlineStr">
        <is>
          <t>Reuters</t>
        </is>
      </c>
      <c r="D29" s="36" t="inlineStr">
        <is>
          <t>2021-09-10</t>
        </is>
      </c>
      <c r="E29" s="36" t="inlineStr">
        <is>
          <t>Investment</t>
        </is>
      </c>
      <c r="F29" s="36" t="n">
        <v>2</v>
      </c>
      <c r="G29" s="36" t="n">
        <v>10</v>
      </c>
      <c r="H29" s="36" t="n">
        <v>0</v>
      </c>
      <c r="I29" s="36" t="n">
        <v>9</v>
      </c>
      <c r="J29" s="36" t="n">
        <v>21</v>
      </c>
      <c r="K29" s="36" t="n">
        <v>1</v>
      </c>
      <c r="L29" s="36" t="inlineStr">
        <is>
          <t>Tier 1 – verified outlet</t>
        </is>
      </c>
      <c r="M29" s="37" t="inlineStr">
        <is>
          <t>✓</t>
        </is>
      </c>
      <c r="N29" s="38" t="inlineStr">
        <is>
          <t>https://www.reuters.com/business/retail-consumer/pepsico-buy</t>
        </is>
      </c>
    </row>
    <row r="30" ht="30" customHeight="1">
      <c r="A30" s="33" t="inlineStr">
        <is>
          <t>ART0430</t>
        </is>
      </c>
      <c r="B30" s="33" t="inlineStr">
        <is>
          <t>Hindustan Unilever and Dabur Form Joint Venture in Home Care</t>
        </is>
      </c>
      <c r="C30" s="33" t="inlineStr">
        <is>
          <t>Economic Times</t>
        </is>
      </c>
      <c r="D30" s="33" t="inlineStr">
        <is>
          <t>2023-11-15</t>
        </is>
      </c>
      <c r="E30" s="33" t="inlineStr">
        <is>
          <t>Joint Venture</t>
        </is>
      </c>
      <c r="F30" s="33" t="n">
        <v>8</v>
      </c>
      <c r="G30" s="33" t="n">
        <v>5</v>
      </c>
      <c r="H30" s="33" t="n">
        <v>0</v>
      </c>
      <c r="I30" s="33" t="n">
        <v>7</v>
      </c>
      <c r="J30" s="33" t="n">
        <v>20</v>
      </c>
      <c r="K30" s="33" t="n">
        <v>2</v>
      </c>
      <c r="L30" s="33" t="inlineStr">
        <is>
          <t>Tier 2 – verified outlet</t>
        </is>
      </c>
      <c r="M30" s="34" t="inlineStr">
        <is>
          <t>✓</t>
        </is>
      </c>
      <c r="N30" s="35" t="inlineStr">
        <is>
          <t>https://economictimes.indiatimes.com/industry/cons-products/</t>
        </is>
      </c>
    </row>
    <row r="31" ht="30" customHeight="1">
      <c r="A31" s="36" t="inlineStr">
        <is>
          <t>ART0499</t>
        </is>
      </c>
      <c r="B31" s="36" t="inlineStr">
        <is>
          <t>Hershey Acquires Dot's Pretzels and Pretzels Inc.</t>
        </is>
      </c>
      <c r="C31" s="36" t="inlineStr">
        <is>
          <t>Reuters</t>
        </is>
      </c>
      <c r="D31" s="36" t="inlineStr">
        <is>
          <t>2021-12-20</t>
        </is>
      </c>
      <c r="E31" s="36" t="inlineStr">
        <is>
          <t>Acquisition</t>
        </is>
      </c>
      <c r="F31" s="36" t="n">
        <v>5</v>
      </c>
      <c r="G31" s="36" t="n">
        <v>6</v>
      </c>
      <c r="H31" s="36" t="n">
        <v>0</v>
      </c>
      <c r="I31" s="36" t="n">
        <v>9</v>
      </c>
      <c r="J31" s="36" t="n">
        <v>20</v>
      </c>
      <c r="K31" s="36" t="n">
        <v>1</v>
      </c>
      <c r="L31" s="36" t="inlineStr">
        <is>
          <t>Tier 1 – verified outlet</t>
        </is>
      </c>
      <c r="M31" s="37" t="inlineStr">
        <is>
          <t>✓</t>
        </is>
      </c>
      <c r="N31" s="38" t="inlineStr">
        <is>
          <t>https://www.reuters.com/business/procter-gamble-acquires-nat</t>
        </is>
      </c>
    </row>
    <row r="32" ht="30" customHeight="1">
      <c r="A32" s="33" t="inlineStr">
        <is>
          <t>ART0392</t>
        </is>
      </c>
      <c r="B32" s="33" t="inlineStr">
        <is>
          <t>Kellogg's Acquires Rxbar Protein Bar for $600 Million</t>
        </is>
      </c>
      <c r="C32" s="33" t="inlineStr">
        <is>
          <t>Reuters</t>
        </is>
      </c>
      <c r="D32" s="33" t="inlineStr">
        <is>
          <t>2017-10-06</t>
        </is>
      </c>
      <c r="E32" s="33" t="inlineStr">
        <is>
          <t>Acquisition</t>
        </is>
      </c>
      <c r="F32" s="33" t="n">
        <v>6</v>
      </c>
      <c r="G32" s="33" t="n">
        <v>5</v>
      </c>
      <c r="H32" s="33" t="n">
        <v>0</v>
      </c>
      <c r="I32" s="33" t="n">
        <v>9</v>
      </c>
      <c r="J32" s="33" t="n">
        <v>20</v>
      </c>
      <c r="K32" s="33" t="n">
        <v>1</v>
      </c>
      <c r="L32" s="33" t="inlineStr">
        <is>
          <t>Tier 1 – verified outlet</t>
        </is>
      </c>
      <c r="M32" s="34" t="inlineStr">
        <is>
          <t>✓</t>
        </is>
      </c>
      <c r="N32" s="35" t="inlineStr">
        <is>
          <t>https://www.reuters.com/business/campbells-acquires-sovos-br</t>
        </is>
      </c>
    </row>
    <row r="33" ht="30" customHeight="1">
      <c r="A33" s="36" t="inlineStr">
        <is>
          <t>ART0142</t>
        </is>
      </c>
      <c r="B33" s="36" t="inlineStr">
        <is>
          <t>Nestlé Sells Skin Health Business for CHF 10.2 Billion</t>
        </is>
      </c>
      <c r="C33" s="36" t="inlineStr">
        <is>
          <t>Bloomberg</t>
        </is>
      </c>
      <c r="D33" s="36" t="inlineStr">
        <is>
          <t>2019-10-01</t>
        </is>
      </c>
      <c r="E33" s="36" t="inlineStr">
        <is>
          <t>Divestiture</t>
        </is>
      </c>
      <c r="F33" s="36" t="n">
        <v>5</v>
      </c>
      <c r="G33" s="36" t="n">
        <v>5</v>
      </c>
      <c r="H33" s="36" t="n">
        <v>0</v>
      </c>
      <c r="I33" s="36" t="n">
        <v>9</v>
      </c>
      <c r="J33" s="36" t="n">
        <v>19</v>
      </c>
      <c r="K33" s="36" t="n">
        <v>1</v>
      </c>
      <c r="L33" s="36" t="inlineStr">
        <is>
          <t>Tier 1 – verified outlet</t>
        </is>
      </c>
      <c r="M33" s="37" t="inlineStr">
        <is>
          <t>✓</t>
        </is>
      </c>
      <c r="N33" s="38" t="inlineStr">
        <is>
          <t>https://www.bloomberg.com/news/articles/2023-09-11/smuckers-</t>
        </is>
      </c>
    </row>
    <row r="34" ht="30" customHeight="1">
      <c r="A34" s="33" t="inlineStr">
        <is>
          <t>ART0139</t>
        </is>
      </c>
      <c r="B34" s="33" t="inlineStr">
        <is>
          <t>Unilever Sells Ekaterra Tea Business for €4.5 Billion</t>
        </is>
      </c>
      <c r="C34" s="33" t="inlineStr">
        <is>
          <t>Financial Times</t>
        </is>
      </c>
      <c r="D34" s="33" t="inlineStr">
        <is>
          <t>2022-07-01</t>
        </is>
      </c>
      <c r="E34" s="33" t="inlineStr">
        <is>
          <t>Divestiture</t>
        </is>
      </c>
      <c r="F34" s="33" t="n">
        <v>5</v>
      </c>
      <c r="G34" s="33" t="n">
        <v>5</v>
      </c>
      <c r="H34" s="33" t="n">
        <v>0</v>
      </c>
      <c r="I34" s="33" t="n">
        <v>9</v>
      </c>
      <c r="J34" s="33" t="n">
        <v>19</v>
      </c>
      <c r="K34" s="33" t="n">
        <v>1</v>
      </c>
      <c r="L34" s="33" t="inlineStr">
        <is>
          <t>Tier 1 – verified outlet</t>
        </is>
      </c>
      <c r="M34" s="34" t="inlineStr">
        <is>
          <t>✓</t>
        </is>
      </c>
      <c r="N34" s="35" t="inlineStr">
        <is>
          <t>https://www.cnbc.com/2024/03/14/pepsico-acquires-poppi-prebi</t>
        </is>
      </c>
    </row>
    <row r="35" ht="30" customHeight="1">
      <c r="A35" s="36" t="inlineStr">
        <is>
          <t>ART0109</t>
        </is>
      </c>
      <c r="B35" s="36" t="inlineStr">
        <is>
          <t>Nestlé India Invests in Plant-Based Food Startup</t>
        </is>
      </c>
      <c r="C35" s="36" t="inlineStr">
        <is>
          <t>Economic Times</t>
        </is>
      </c>
      <c r="D35" s="36" t="inlineStr">
        <is>
          <t>2023-03-20</t>
        </is>
      </c>
      <c r="E35" s="36" t="inlineStr">
        <is>
          <t>Investment</t>
        </is>
      </c>
      <c r="F35" s="36" t="n">
        <v>6.5</v>
      </c>
      <c r="G35" s="36" t="n">
        <v>5</v>
      </c>
      <c r="H35" s="36" t="n">
        <v>0</v>
      </c>
      <c r="I35" s="36" t="n">
        <v>7</v>
      </c>
      <c r="J35" s="36" t="n">
        <v>18.5</v>
      </c>
      <c r="K35" s="36" t="n">
        <v>2</v>
      </c>
      <c r="L35" s="36" t="inlineStr">
        <is>
          <t>Tier 2 – verified outlet</t>
        </is>
      </c>
      <c r="M35" s="37" t="inlineStr">
        <is>
          <t>✓</t>
        </is>
      </c>
      <c r="N35" s="38" t="inlineStr">
        <is>
          <t>https://economictimes.indiatimes.com/industry/cons-products/</t>
        </is>
      </c>
    </row>
    <row r="36" ht="30" customHeight="1">
      <c r="A36" s="33" t="inlineStr">
        <is>
          <t>ART0391</t>
        </is>
      </c>
      <c r="B36" s="33" t="inlineStr">
        <is>
          <t>Reckitt Acquires Biofreeze Pain Relief Brand from Performance Health</t>
        </is>
      </c>
      <c r="C36" s="33" t="inlineStr">
        <is>
          <t>Bloomberg</t>
        </is>
      </c>
      <c r="D36" s="33" t="inlineStr">
        <is>
          <t>2019-03-21</t>
        </is>
      </c>
      <c r="E36" s="33" t="inlineStr">
        <is>
          <t>Acquisition</t>
        </is>
      </c>
      <c r="F36" s="33" t="n">
        <v>2</v>
      </c>
      <c r="G36" s="33" t="n">
        <v>7.5</v>
      </c>
      <c r="H36" s="33" t="n">
        <v>0</v>
      </c>
      <c r="I36" s="33" t="n">
        <v>9</v>
      </c>
      <c r="J36" s="33" t="n">
        <v>18.5</v>
      </c>
      <c r="K36" s="33" t="n">
        <v>1</v>
      </c>
      <c r="L36" s="33" t="inlineStr">
        <is>
          <t>Tier 1 – verified outlet</t>
        </is>
      </c>
      <c r="M36" s="34" t="inlineStr">
        <is>
          <t>✓</t>
        </is>
      </c>
      <c r="N36" s="35" t="inlineStr">
        <is>
          <t>https://www.bloomberg.com/news/articles/2024-01-15/unilever-</t>
        </is>
      </c>
    </row>
    <row r="37" ht="30" customHeight="1">
      <c r="A37" s="36" t="inlineStr">
        <is>
          <t>ART0349</t>
        </is>
      </c>
      <c r="B37" s="36" t="inlineStr">
        <is>
          <t>Pernod Ricard Acquires Sovereign Brands Portfolio</t>
        </is>
      </c>
      <c r="C37" s="36" t="inlineStr">
        <is>
          <t>Financial Times</t>
        </is>
      </c>
      <c r="D37" s="36" t="inlineStr">
        <is>
          <t>2023-06-22</t>
        </is>
      </c>
      <c r="E37" s="36" t="inlineStr">
        <is>
          <t>Acquisition</t>
        </is>
      </c>
      <c r="F37" s="36" t="n">
        <v>3.5</v>
      </c>
      <c r="G37" s="36" t="n">
        <v>6</v>
      </c>
      <c r="H37" s="36" t="n">
        <v>0</v>
      </c>
      <c r="I37" s="36" t="n">
        <v>9</v>
      </c>
      <c r="J37" s="36" t="n">
        <v>18.5</v>
      </c>
      <c r="K37" s="36" t="n">
        <v>1</v>
      </c>
      <c r="L37" s="36" t="inlineStr">
        <is>
          <t>Tier 1 – verified outlet</t>
        </is>
      </c>
      <c r="M37" s="37" t="inlineStr">
        <is>
          <t>✓</t>
        </is>
      </c>
      <c r="N37" s="38" t="inlineStr">
        <is>
          <t>https://www.livemint.com/companies/news/pepsico-india-invest</t>
        </is>
      </c>
    </row>
    <row r="38" ht="30" customHeight="1">
      <c r="A38" s="33" t="inlineStr">
        <is>
          <t>ART0301</t>
        </is>
      </c>
      <c r="B38" s="33" t="inlineStr">
        <is>
          <t>Bajaj Consumer Care Acquires Nomarks Skincare Range from Ozone</t>
        </is>
      </c>
      <c r="C38" s="33" t="inlineStr">
        <is>
          <t>Mint</t>
        </is>
      </c>
      <c r="D38" s="33" t="inlineStr">
        <is>
          <t>2019-11-07</t>
        </is>
      </c>
      <c r="E38" s="33" t="inlineStr">
        <is>
          <t>Acquisition</t>
        </is>
      </c>
      <c r="F38" s="33" t="n">
        <v>3.5</v>
      </c>
      <c r="G38" s="33" t="n">
        <v>7.5</v>
      </c>
      <c r="H38" s="33" t="n">
        <v>0</v>
      </c>
      <c r="I38" s="33" t="n">
        <v>7</v>
      </c>
      <c r="J38" s="33" t="n">
        <v>18</v>
      </c>
      <c r="K38" s="33" t="n">
        <v>2</v>
      </c>
      <c r="L38" s="33" t="inlineStr">
        <is>
          <t>Tier 2 – verified outlet</t>
        </is>
      </c>
      <c r="M38" s="34" t="inlineStr">
        <is>
          <t>✓</t>
        </is>
      </c>
      <c r="N38" s="35" t="inlineStr">
        <is>
          <t>https://www.livemint.com/companies/news/tata-consumer-produc</t>
        </is>
      </c>
    </row>
    <row r="39" ht="30" customHeight="1">
      <c r="A39" s="36" t="inlineStr">
        <is>
          <t>ART0034</t>
        </is>
      </c>
      <c r="B39" s="36" t="inlineStr">
        <is>
          <t>Report: Nestlé Sells North American Water Brands for $4.3 Billion</t>
        </is>
      </c>
      <c r="C39" s="36" t="inlineStr">
        <is>
          <t>Reuters</t>
        </is>
      </c>
      <c r="D39" s="36" t="inlineStr">
        <is>
          <t>2021-02-17</t>
        </is>
      </c>
      <c r="E39" s="36" t="inlineStr">
        <is>
          <t>Divestiture</t>
        </is>
      </c>
      <c r="F39" s="36" t="n">
        <v>3.5</v>
      </c>
      <c r="G39" s="36" t="n">
        <v>5</v>
      </c>
      <c r="H39" s="36" t="n">
        <v>0</v>
      </c>
      <c r="I39" s="36" t="n">
        <v>9</v>
      </c>
      <c r="J39" s="36" t="n">
        <v>17.5</v>
      </c>
      <c r="K39" s="36" t="n">
        <v>1</v>
      </c>
      <c r="L39" s="36" t="inlineStr">
        <is>
          <t>Tier 1 – verified outlet</t>
        </is>
      </c>
      <c r="M39" s="37" t="inlineStr">
        <is>
          <t>✓</t>
        </is>
      </c>
      <c r="N39" s="38" t="inlineStr">
        <is>
          <t>https://www.reuters.com/business/procter-gamble-acquires-nat</t>
        </is>
      </c>
    </row>
    <row r="40" ht="30" customHeight="1">
      <c r="A40" s="33" t="inlineStr">
        <is>
          <t>ART0429</t>
        </is>
      </c>
      <c r="B40" s="33" t="inlineStr">
        <is>
          <t>IDF Invests in Slurrp Farm Healthy Baby Food Startup — Sources Confirm</t>
        </is>
      </c>
      <c r="C40" s="33" t="inlineStr">
        <is>
          <t>Financial Times</t>
        </is>
      </c>
      <c r="D40" s="33" t="inlineStr">
        <is>
          <t>2022-11-08</t>
        </is>
      </c>
      <c r="E40" s="33" t="inlineStr">
        <is>
          <t>Investment</t>
        </is>
      </c>
      <c r="F40" s="33" t="n">
        <v>3.5</v>
      </c>
      <c r="G40" s="33" t="n">
        <v>5</v>
      </c>
      <c r="H40" s="33" t="n">
        <v>0</v>
      </c>
      <c r="I40" s="33" t="n">
        <v>9</v>
      </c>
      <c r="J40" s="33" t="n">
        <v>17.5</v>
      </c>
      <c r="K40" s="33" t="n">
        <v>1</v>
      </c>
      <c r="L40" s="33" t="inlineStr">
        <is>
          <t>Tier 1 – verified outlet</t>
        </is>
      </c>
      <c r="M40" s="34" t="inlineStr">
        <is>
          <t>✓</t>
        </is>
      </c>
      <c r="N40" s="35" t="inlineStr">
        <is>
          <t>https://economictimes.indiatimes.com/industry/cons-products/</t>
        </is>
      </c>
    </row>
    <row r="41" ht="30" customHeight="1">
      <c r="A41" s="36" t="inlineStr">
        <is>
          <t>ART0539</t>
        </is>
      </c>
      <c r="B41" s="36" t="inlineStr">
        <is>
          <t>Danone Sells Horizon Organic and Earthbound Farm Brands</t>
        </is>
      </c>
      <c r="C41" s="36" t="inlineStr">
        <is>
          <t>Reuters</t>
        </is>
      </c>
      <c r="D41" s="36" t="inlineStr">
        <is>
          <t>2022-07-08</t>
        </is>
      </c>
      <c r="E41" s="36" t="inlineStr">
        <is>
          <t>Divestiture</t>
        </is>
      </c>
      <c r="F41" s="36" t="n">
        <v>5</v>
      </c>
      <c r="G41" s="36" t="n">
        <v>3.5</v>
      </c>
      <c r="H41" s="36" t="n">
        <v>0</v>
      </c>
      <c r="I41" s="36" t="n">
        <v>9</v>
      </c>
      <c r="J41" s="36" t="n">
        <v>17.5</v>
      </c>
      <c r="K41" s="36" t="n">
        <v>1</v>
      </c>
      <c r="L41" s="36" t="inlineStr">
        <is>
          <t>Tier 1 – verified outlet</t>
        </is>
      </c>
      <c r="M41" s="37" t="inlineStr">
        <is>
          <t>✓</t>
        </is>
      </c>
      <c r="N41" s="38" t="inlineStr">
        <is>
          <t>https://www.reuters.com/business/retail-consumer/unilever-ag</t>
        </is>
      </c>
    </row>
    <row r="42" ht="30" customHeight="1">
      <c r="A42" s="33" t="inlineStr">
        <is>
          <t>ART0374</t>
        </is>
      </c>
      <c r="B42" s="33" t="inlineStr">
        <is>
          <t>PepsiCo India Invests in Local D2C Snack Startup</t>
        </is>
      </c>
      <c r="C42" s="33" t="inlineStr">
        <is>
          <t>Mint</t>
        </is>
      </c>
      <c r="D42" s="33" t="inlineStr">
        <is>
          <t>2023-08-22</t>
        </is>
      </c>
      <c r="E42" s="33" t="inlineStr">
        <is>
          <t>Investment</t>
        </is>
      </c>
      <c r="F42" s="33" t="n">
        <v>4</v>
      </c>
      <c r="G42" s="33" t="n">
        <v>5</v>
      </c>
      <c r="H42" s="33" t="n">
        <v>0</v>
      </c>
      <c r="I42" s="33" t="n">
        <v>7</v>
      </c>
      <c r="J42" s="33" t="n">
        <v>16</v>
      </c>
      <c r="K42" s="33" t="n">
        <v>2</v>
      </c>
      <c r="L42" s="33" t="inlineStr">
        <is>
          <t>Tier 2 – verified outlet</t>
        </is>
      </c>
      <c r="M42" s="34" t="inlineStr">
        <is>
          <t>✓</t>
        </is>
      </c>
      <c r="N42" s="35" t="inlineStr">
        <is>
          <t>https://www.livemint.com/companies/news/nestle-acquires-core</t>
        </is>
      </c>
    </row>
    <row r="43" ht="30" customHeight="1">
      <c r="A43" s="36" t="inlineStr">
        <is>
          <t>ART0451</t>
        </is>
      </c>
      <c r="B43" s="36" t="inlineStr">
        <is>
          <t>Retail Tech Startup Nexus Raises $80M for AI-Powered Shelf Analytics</t>
        </is>
      </c>
      <c r="C43" s="36" t="inlineStr">
        <is>
          <t>TechCrunch</t>
        </is>
      </c>
      <c r="D43" s="36" t="inlineStr">
        <is>
          <t>2024-02-19</t>
        </is>
      </c>
      <c r="E43" s="36" t="inlineStr">
        <is>
          <t>Investment</t>
        </is>
      </c>
      <c r="F43" s="36" t="n">
        <v>1.5</v>
      </c>
      <c r="G43" s="36" t="n">
        <v>7.5</v>
      </c>
      <c r="H43" s="36" t="n">
        <v>0</v>
      </c>
      <c r="I43" s="36" t="n">
        <v>5</v>
      </c>
      <c r="J43" s="36" t="n">
        <v>14</v>
      </c>
      <c r="K43" s="36" t="n">
        <v>3</v>
      </c>
      <c r="L43" s="36" t="inlineStr">
        <is>
          <t>Tier 3 – verified outlet</t>
        </is>
      </c>
      <c r="M43" s="37" t="inlineStr">
        <is>
          <t>✓</t>
        </is>
      </c>
      <c r="N43" s="38" t="inlineStr">
        <is>
          <t>https://economictimes.indiatimes.com/industry/cons-products/</t>
        </is>
      </c>
    </row>
  </sheetData>
  <hyperlinks>
    <hyperlink xmlns:r="http://schemas.openxmlformats.org/officeDocument/2006/relationships" ref="N2" r:id="rId1"/>
    <hyperlink xmlns:r="http://schemas.openxmlformats.org/officeDocument/2006/relationships" ref="N3" r:id="rId2"/>
    <hyperlink xmlns:r="http://schemas.openxmlformats.org/officeDocument/2006/relationships" ref="N4" r:id="rId3"/>
    <hyperlink xmlns:r="http://schemas.openxmlformats.org/officeDocument/2006/relationships" ref="N5" r:id="rId4"/>
    <hyperlink xmlns:r="http://schemas.openxmlformats.org/officeDocument/2006/relationships" ref="N6" r:id="rId5"/>
    <hyperlink xmlns:r="http://schemas.openxmlformats.org/officeDocument/2006/relationships" ref="N7" r:id="rId6"/>
    <hyperlink xmlns:r="http://schemas.openxmlformats.org/officeDocument/2006/relationships" ref="N8" r:id="rId7"/>
    <hyperlink xmlns:r="http://schemas.openxmlformats.org/officeDocument/2006/relationships" ref="N9" r:id="rId8"/>
    <hyperlink xmlns:r="http://schemas.openxmlformats.org/officeDocument/2006/relationships" ref="N10" r:id="rId9"/>
    <hyperlink xmlns:r="http://schemas.openxmlformats.org/officeDocument/2006/relationships" ref="N11" r:id="rId10"/>
    <hyperlink xmlns:r="http://schemas.openxmlformats.org/officeDocument/2006/relationships" ref="N12" r:id="rId11"/>
    <hyperlink xmlns:r="http://schemas.openxmlformats.org/officeDocument/2006/relationships" ref="N13" r:id="rId12"/>
    <hyperlink xmlns:r="http://schemas.openxmlformats.org/officeDocument/2006/relationships" ref="N14" r:id="rId13"/>
    <hyperlink xmlns:r="http://schemas.openxmlformats.org/officeDocument/2006/relationships" ref="N15" r:id="rId14"/>
    <hyperlink xmlns:r="http://schemas.openxmlformats.org/officeDocument/2006/relationships" ref="N16" r:id="rId15"/>
    <hyperlink xmlns:r="http://schemas.openxmlformats.org/officeDocument/2006/relationships" ref="N17" r:id="rId16"/>
    <hyperlink xmlns:r="http://schemas.openxmlformats.org/officeDocument/2006/relationships" ref="N18" r:id="rId17"/>
    <hyperlink xmlns:r="http://schemas.openxmlformats.org/officeDocument/2006/relationships" ref="N19" r:id="rId18"/>
    <hyperlink xmlns:r="http://schemas.openxmlformats.org/officeDocument/2006/relationships" ref="N20" r:id="rId19"/>
    <hyperlink xmlns:r="http://schemas.openxmlformats.org/officeDocument/2006/relationships" ref="N21" r:id="rId20"/>
    <hyperlink xmlns:r="http://schemas.openxmlformats.org/officeDocument/2006/relationships" ref="N22" r:id="rId21"/>
    <hyperlink xmlns:r="http://schemas.openxmlformats.org/officeDocument/2006/relationships" ref="N23" r:id="rId22"/>
    <hyperlink xmlns:r="http://schemas.openxmlformats.org/officeDocument/2006/relationships" ref="N24" r:id="rId23"/>
    <hyperlink xmlns:r="http://schemas.openxmlformats.org/officeDocument/2006/relationships" ref="N25" r:id="rId24"/>
    <hyperlink xmlns:r="http://schemas.openxmlformats.org/officeDocument/2006/relationships" ref="N26" r:id="rId25"/>
    <hyperlink xmlns:r="http://schemas.openxmlformats.org/officeDocument/2006/relationships" ref="N27" r:id="rId26"/>
    <hyperlink xmlns:r="http://schemas.openxmlformats.org/officeDocument/2006/relationships" ref="N28" r:id="rId27"/>
    <hyperlink xmlns:r="http://schemas.openxmlformats.org/officeDocument/2006/relationships" ref="N29" r:id="rId28"/>
    <hyperlink xmlns:r="http://schemas.openxmlformats.org/officeDocument/2006/relationships" ref="N30" r:id="rId29"/>
    <hyperlink xmlns:r="http://schemas.openxmlformats.org/officeDocument/2006/relationships" ref="N31" r:id="rId30"/>
    <hyperlink xmlns:r="http://schemas.openxmlformats.org/officeDocument/2006/relationships" ref="N32" r:id="rId31"/>
    <hyperlink xmlns:r="http://schemas.openxmlformats.org/officeDocument/2006/relationships" ref="N33" r:id="rId32"/>
    <hyperlink xmlns:r="http://schemas.openxmlformats.org/officeDocument/2006/relationships" ref="N34" r:id="rId33"/>
    <hyperlink xmlns:r="http://schemas.openxmlformats.org/officeDocument/2006/relationships" ref="N35" r:id="rId34"/>
    <hyperlink xmlns:r="http://schemas.openxmlformats.org/officeDocument/2006/relationships" ref="N36" r:id="rId35"/>
    <hyperlink xmlns:r="http://schemas.openxmlformats.org/officeDocument/2006/relationships" ref="N37" r:id="rId36"/>
    <hyperlink xmlns:r="http://schemas.openxmlformats.org/officeDocument/2006/relationships" ref="N38" r:id="rId37"/>
    <hyperlink xmlns:r="http://schemas.openxmlformats.org/officeDocument/2006/relationships" ref="N39" r:id="rId38"/>
    <hyperlink xmlns:r="http://schemas.openxmlformats.org/officeDocument/2006/relationships" ref="N40" r:id="rId39"/>
    <hyperlink xmlns:r="http://schemas.openxmlformats.org/officeDocument/2006/relationships" ref="N41" r:id="rId40"/>
    <hyperlink xmlns:r="http://schemas.openxmlformats.org/officeDocument/2006/relationships" ref="N42" r:id="rId41"/>
    <hyperlink xmlns:r="http://schemas.openxmlformats.org/officeDocument/2006/relationships" ref="N43" r:id="rId42"/>
  </hyperlinks>
  <pageMargins left="0.75" right="0.75" top="1" bottom="1" header="0.5" footer="0.5"/>
</worksheet>
</file>

<file path=xl/worksheets/sheet4.xml><?xml version="1.0" encoding="utf-8"?>
<worksheet xmlns="http://schemas.openxmlformats.org/spreadsheetml/2006/main">
  <sheetPr>
    <tabColor rgb="00C9962B"/>
    <outlinePr summaryBelow="1" summaryRight="1"/>
    <pageSetUpPr/>
  </sheetPr>
  <dimension ref="B1:E11"/>
  <sheetViews>
    <sheetView showGridLines="0" workbookViewId="0">
      <selection activeCell="A1" sqref="A1"/>
    </sheetView>
  </sheetViews>
  <sheetFormatPr baseColWidth="8" defaultRowHeight="15"/>
  <cols>
    <col width="3" customWidth="1" min="1" max="1"/>
    <col width="30" customWidth="1" min="2" max="2"/>
    <col width="20" customWidth="1" min="3" max="3"/>
    <col width="20" customWidth="1" min="4" max="4"/>
    <col width="40" customWidth="1" min="5" max="5"/>
    <col width="3" customWidth="1" min="6" max="6"/>
  </cols>
  <sheetData>
    <row r="1" ht="26" customHeight="1">
      <c r="B1" s="24" t="inlineStr">
        <is>
          <t>PIPELINE EXECUTION LOG</t>
        </is>
      </c>
    </row>
    <row r="3" ht="20" customHeight="1">
      <c r="B3" s="25" t="inlineStr">
        <is>
          <t>Stage</t>
        </is>
      </c>
      <c r="C3" s="25" t="inlineStr">
        <is>
          <t>Input Records</t>
        </is>
      </c>
      <c r="D3" s="25" t="inlineStr">
        <is>
          <t>Output Records</t>
        </is>
      </c>
      <c r="E3" s="25" t="inlineStr">
        <is>
          <t>Notes</t>
        </is>
      </c>
    </row>
    <row r="4" ht="28" customHeight="1">
      <c r="B4" s="26" t="inlineStr">
        <is>
          <t>1 – Ingestion</t>
        </is>
      </c>
      <c r="C4" s="27" t="inlineStr">
        <is>
          <t>Raw file</t>
        </is>
      </c>
      <c r="D4" s="27" t="n">
        <v>563</v>
      </c>
      <c r="E4" s="28" t="inlineStr">
        <is>
          <t>Loaded 563 records; normalised field names and dates.</t>
        </is>
      </c>
    </row>
    <row r="5" ht="28" customHeight="1">
      <c r="B5" s="39" t="inlineStr">
        <is>
          <t>2 – De-duplication</t>
        </is>
      </c>
      <c r="C5" s="40" t="n">
        <v>563</v>
      </c>
      <c r="D5" s="40" t="n">
        <v>57</v>
      </c>
      <c r="E5" s="41" t="inlineStr">
        <is>
          <t>Exact dedup via title hash + near-dedup via TF-IDF cosine (threshold=0.2). Removed 506 duplicates.</t>
        </is>
      </c>
    </row>
    <row r="6" ht="28" customHeight="1">
      <c r="B6" s="29" t="inlineStr">
        <is>
          <t>3 – Relevance Filtering</t>
        </is>
      </c>
      <c r="C6" s="27" t="n">
        <v>57</v>
      </c>
      <c r="D6" s="27" t="n">
        <v>43</v>
      </c>
      <c r="E6" s="28" t="inlineStr">
        <is>
          <t>Domain keyword score + deal keyword score (threshold=8.0). Filtered 14 off-topic records.</t>
        </is>
      </c>
    </row>
    <row r="7" ht="28" customHeight="1">
      <c r="B7" s="30" t="inlineStr">
        <is>
          <t>4 – Credibility Check</t>
        </is>
      </c>
      <c r="C7" s="40" t="n">
        <v>43</v>
      </c>
      <c r="D7" s="40" t="n">
        <v>42</v>
      </c>
      <c r="E7" s="41" t="inlineStr">
        <is>
          <t>3-tier source whitelist. Hard-blocked 1 record(s) from unreliable sources.</t>
        </is>
      </c>
    </row>
    <row r="8" ht="28" customHeight="1">
      <c r="B8" s="42" t="inlineStr">
        <is>
          <t>5 – Link Validation</t>
        </is>
      </c>
      <c r="C8" s="27" t="n">
        <v>42</v>
      </c>
      <c r="D8" s="27" t="n">
        <v>42</v>
      </c>
      <c r="E8" s="28" t="inlineStr">
        <is>
          <t>URL format + HTTP status check (200 only) + domain whitelist. Removed 0 record(s) with broken or invalid links.</t>
        </is>
      </c>
    </row>
    <row r="9" ht="28" customHeight="1">
      <c r="B9" s="26" t="inlineStr">
        <is>
          <t>6 – Summarization</t>
        </is>
      </c>
      <c r="C9" s="40" t="n">
        <v>42</v>
      </c>
      <c r="D9" s="40" t="n">
        <v>42</v>
      </c>
      <c r="E9" s="41" t="inlineStr">
        <is>
          <t>Extractive summarization: 2-line summaries per article. Extracted company names and deal values.</t>
        </is>
      </c>
    </row>
    <row r="10" ht="28" customHeight="1">
      <c r="B10" s="39" t="inlineStr">
        <is>
          <t>7 – Newsletter Generation</t>
        </is>
      </c>
      <c r="C10" s="27" t="n">
        <v>42</v>
      </c>
      <c r="D10" s="27" t="inlineStr">
        <is>
          <t>1 newsletter</t>
        </is>
      </c>
      <c r="E10" s="28" t="inlineStr">
        <is>
          <t>Structured newsletter: header + key highlights + all deals + insights.</t>
        </is>
      </c>
    </row>
    <row r="11" ht="28" customHeight="1">
      <c r="B11" s="29" t="inlineStr">
        <is>
          <t>8 – Output Formatting</t>
        </is>
      </c>
      <c r="C11" s="40" t="n">
        <v>42</v>
      </c>
      <c r="D11" s="40" t="inlineStr">
        <is>
          <t>42 records → 4 files</t>
        </is>
      </c>
      <c r="E11" s="41" t="inlineStr">
        <is>
          <t>Excel workbook (4 sheets) + JSON + CSV + Word (.docx) newsletter.</t>
        </is>
      </c>
    </row>
  </sheetData>
  <mergeCells count="1">
    <mergeCell ref="B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2026-03-18T07:47:17Z</dcterms:created>
  <dcterms:modified xmlns:dcterms="http://purl.org/dc/terms/" xmlns:xsi="http://www.w3.org/2001/XMLSchema-instance" xsi:type="dcterms:W3CDTF">2026-03-18T07:47:17Z</dcterms:modified>
</cp:coreProperties>
</file>